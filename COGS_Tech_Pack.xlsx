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COGS Analysis" sheetId="2" state="visible" r:id="rId4"/>
    <sheet name="Dettaglio per Scenari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<sst xmlns="http://schemas.openxmlformats.org/spreadsheetml/2006/main" count="106" uniqueCount="74">
  <si>
    <t xml:space="preserve">COGS Tech Analysis – Assumptions</t>
  </si>
  <si>
    <t xml:space="preserve">Parameter</t>
  </si>
  <si>
    <t xml:space="preserve">Value</t>
  </si>
  <si>
    <t xml:space="preserve">Unit</t>
  </si>
  <si>
    <t xml:space="preserve">Source / Note</t>
  </si>
  <si>
    <t xml:space="preserve">GHL Agency Unlimited</t>
  </si>
  <si>
    <t xml:space="preserve">$/mese</t>
  </si>
  <si>
    <t xml:space="preserve">GoHighLevel pricing, May 2026</t>
  </si>
  <si>
    <t xml:space="preserve">ElevenLabs rate</t>
  </si>
  <si>
    <t xml:space="preserve">$/min</t>
  </si>
  <si>
    <t xml:space="preserve">ElevenLabs outbound voice, May 2026</t>
  </si>
  <si>
    <t xml:space="preserve">Telnyx SIP rate</t>
  </si>
  <si>
    <t xml:space="preserve">Average of $0.005–$0.01</t>
  </si>
  <si>
    <t xml:space="preserve">Instantly (shared)</t>
  </si>
  <si>
    <t xml:space="preserve">Instantly.ai plan, May 2026</t>
  </si>
  <si>
    <t xml:space="preserve">Vercel / Cloudflare</t>
  </si>
  <si>
    <t xml:space="preserve">Free tier</t>
  </si>
  <si>
    <t xml:space="preserve">EUR/USD</t>
  </si>
  <si>
    <t xml:space="preserve">ratio</t>
  </si>
  <si>
    <t xml:space="preserve">1:1 assumption for simplicity</t>
  </si>
  <si>
    <t xml:space="preserve">SalesMind Start – prezzo</t>
  </si>
  <si>
    <t xml:space="preserve">€/mese</t>
  </si>
  <si>
    <t xml:space="preserve">Pack pricing</t>
  </si>
  <si>
    <t xml:space="preserve">SalesMind Pro – prezzo</t>
  </si>
  <si>
    <t xml:space="preserve">SalesMind Domination – prezzo</t>
  </si>
  <si>
    <t xml:space="preserve">AIVoice Max Enterprise – prezzo</t>
  </si>
  <si>
    <t xml:space="preserve">Pack pricing – stima</t>
  </si>
  <si>
    <t xml:space="preserve">SalesMind Start – min AI</t>
  </si>
  <si>
    <t xml:space="preserve">min/mese</t>
  </si>
  <si>
    <t xml:space="preserve">No voice AI</t>
  </si>
  <si>
    <t xml:space="preserve">SalesMind Pro – min AI</t>
  </si>
  <si>
    <t xml:space="preserve">Centro range 0-200</t>
  </si>
  <si>
    <t xml:space="preserve">SalesMind Domination – min AI</t>
  </si>
  <si>
    <t xml:space="preserve">Centro range 200-500</t>
  </si>
  <si>
    <t xml:space="preserve">AIVoice Max Enterprise – min AI</t>
  </si>
  <si>
    <t xml:space="preserve">Centro range 500-2000</t>
  </si>
  <si>
    <t xml:space="preserve">COGS Tech Analysis – Pack Telesales AI</t>
  </si>
  <si>
    <t xml:space="preserve">Testo BLU = input modificabile     |     Testo NERO = formula calcolata     |     Testo VERDE = link da altro foglio</t>
  </si>
  <si>
    <t xml:space="preserve">SCENARIO: 10 CLIENTI ATTIVI</t>
  </si>
  <si>
    <t xml:space="preserve">SCENARIO: 20 CLIENTI ATTIVI</t>
  </si>
  <si>
    <t xml:space="preserve">Pack</t>
  </si>
  <si>
    <t xml:space="preserve">Prezzo (€/mese)</t>
  </si>
  <si>
    <t xml:space="preserve">Min AI/mese</t>
  </si>
  <si>
    <t xml:space="preserve">GHL 10 cli ($)</t>
  </si>
  <si>
    <t xml:space="preserve">ElevenLabs ($)</t>
  </si>
  <si>
    <t xml:space="preserve">Telnyx ($)</t>
  </si>
  <si>
    <t xml:space="preserve">Instantly 10 cli ($)</t>
  </si>
  <si>
    <t xml:space="preserve">COGS Totale 10 cli ($)</t>
  </si>
  <si>
    <t xml:space="preserve">Margine Lordo 10 cli (€)</t>
  </si>
  <si>
    <t xml:space="preserve">Margine % 10 cli</t>
  </si>
  <si>
    <t xml:space="preserve">GHL 20 cli ($)</t>
  </si>
  <si>
    <t xml:space="preserve">Instantly 20 cli ($)</t>
  </si>
  <si>
    <t xml:space="preserve">COGS Totale 20 cli ($)</t>
  </si>
  <si>
    <t xml:space="preserve">Margine Lordo 20 cli (€)</t>
  </si>
  <si>
    <t xml:space="preserve">Margine % 20 cli</t>
  </si>
  <si>
    <t xml:space="preserve">SalesMind Start</t>
  </si>
  <si>
    <t xml:space="preserve">SalesMind Pro</t>
  </si>
  <si>
    <t xml:space="preserve">SalesMind Domination</t>
  </si>
  <si>
    <t xml:space="preserve">AIVoice Max Enterprise</t>
  </si>
  <si>
    <t xml:space="preserve">Dettaglio COGS per Scenario – Breakdown Voci di Costo</t>
  </si>
  <si>
    <t xml:space="preserve">GHL ($297/10)</t>
  </si>
  <si>
    <t xml:space="preserve">Instantly ($42/10)</t>
  </si>
  <si>
    <t xml:space="preserve">COGS Totale ($)</t>
  </si>
  <si>
    <t xml:space="preserve">GHL ($297/20)</t>
  </si>
  <si>
    <t xml:space="preserve">Instantly ($42/20)</t>
  </si>
  <si>
    <t xml:space="preserve">TOTALE / MEDIA</t>
  </si>
  <si>
    <t xml:space="preserve">CONFRONTO MARGINE LORDO (Prezzo – COGS)</t>
  </si>
  <si>
    <t xml:space="preserve">Prezzo (€)</t>
  </si>
  <si>
    <t xml:space="preserve">COGS 10 cli ($)</t>
  </si>
  <si>
    <t xml:space="preserve">Marg. 10 cli (€)</t>
  </si>
  <si>
    <t xml:space="preserve">Marg. % 10 cli</t>
  </si>
  <si>
    <t xml:space="preserve">COGS 20 cli ($)</t>
  </si>
  <si>
    <t xml:space="preserve">Marg. 20 cli (€)</t>
  </si>
  <si>
    <t xml:space="preserve">Marg. % 20 cli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</si>
</sst>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;&quot;($&quot;#,##0.00\);\-"/>
    <numFmt numFmtId="166" formatCode="\$#,##0.0000"/>
    <numFmt numFmtId="167" formatCode="\€#,##0.00;&quot;(€&quot;#,##0.00\);\-"/>
    <numFmt numFmtId="168" formatCode="#,##0;\(#,##0\);\-"/>
    <numFmt numFmtId="169" formatCode="0.0%;\(0.0%\);\-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555555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8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F2F2F2"/>
        <bgColor rgb="FFE8ECF0"/>
      </patternFill>
    </fill>
    <fill>
      <patternFill patternType="solid">
        <fgColor rgb="FFE8ECF0"/>
        <bgColor rgb="FFF2F2F2"/>
      </patternFill>
    </fill>
    <fill>
      <patternFill patternType="solid">
        <fgColor rgb="FF2E5597"/>
        <bgColor rgb="FF1F3864"/>
      </patternFill>
    </fill>
    <fill>
      <patternFill patternType="solid">
        <fgColor rgb="FFFFFFFF"/>
        <bgColor rgb="FFF2F2F2"/>
      </patternFill>
    </fill>
    <fill>
      <patternFill patternType="solid">
        <fgColor rgb="FFD9E1F2"/>
        <bgColor rgb="FFE8EC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E8ECF0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2E5597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4"/>
    <col collapsed="false" customWidth="true" hidden="false" outlineLevel="0" max="4" min="4" style="0" width="42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</row>
    <row r="3" customFormat="false" ht="15" hidden="false" customHeight="false" outlineLevel="0" collapsed="false">
      <c r="A3" s="3" t="s">
        <v>5</v>
      </c>
      <c r="B3" s="4" t="n">
        <v>297</v>
      </c>
      <c r="C3" s="5" t="s">
        <v>6</v>
      </c>
      <c r="D3" s="6" t="s">
        <v>7</v>
      </c>
    </row>
    <row r="4" customFormat="false" ht="15" hidden="false" customHeight="false" outlineLevel="0" collapsed="false">
      <c r="A4" s="7" t="s">
        <v>8</v>
      </c>
      <c r="B4" s="8" t="n">
        <v>0.08</v>
      </c>
      <c r="C4" s="9" t="s">
        <v>9</v>
      </c>
      <c r="D4" s="10" t="s">
        <v>10</v>
      </c>
    </row>
    <row r="5" customFormat="false" ht="15" hidden="false" customHeight="false" outlineLevel="0" collapsed="false">
      <c r="A5" s="3" t="s">
        <v>11</v>
      </c>
      <c r="B5" s="11" t="n">
        <v>0.0075</v>
      </c>
      <c r="C5" s="5" t="s">
        <v>9</v>
      </c>
      <c r="D5" s="6" t="s">
        <v>12</v>
      </c>
    </row>
    <row r="6" customFormat="false" ht="15" hidden="false" customHeight="false" outlineLevel="0" collapsed="false">
      <c r="A6" s="7" t="s">
        <v>13</v>
      </c>
      <c r="B6" s="12" t="n">
        <v>42</v>
      </c>
      <c r="C6" s="9" t="s">
        <v>6</v>
      </c>
      <c r="D6" s="10" t="s">
        <v>14</v>
      </c>
    </row>
    <row r="7" customFormat="false" ht="15" hidden="false" customHeight="false" outlineLevel="0" collapsed="false">
      <c r="A7" s="3" t="s">
        <v>15</v>
      </c>
      <c r="B7" s="13" t="n">
        <v>0</v>
      </c>
      <c r="C7" s="5" t="s">
        <v>6</v>
      </c>
      <c r="D7" s="6" t="s">
        <v>16</v>
      </c>
    </row>
    <row r="8" customFormat="false" ht="15" hidden="false" customHeight="false" outlineLevel="0" collapsed="false">
      <c r="A8" s="7" t="s">
        <v>17</v>
      </c>
      <c r="B8" s="12" t="n">
        <v>1</v>
      </c>
      <c r="C8" s="9" t="s">
        <v>18</v>
      </c>
      <c r="D8" s="10" t="s">
        <v>19</v>
      </c>
    </row>
    <row r="9" customFormat="false" ht="15" hidden="false" customHeight="false" outlineLevel="0" collapsed="false">
      <c r="A9" s="14"/>
      <c r="C9" s="5"/>
      <c r="D9" s="6"/>
    </row>
    <row r="10" customFormat="false" ht="15" hidden="false" customHeight="false" outlineLevel="0" collapsed="false">
      <c r="A10" s="7" t="s">
        <v>20</v>
      </c>
      <c r="B10" s="15" t="n">
        <v>650</v>
      </c>
      <c r="C10" s="9" t="s">
        <v>21</v>
      </c>
      <c r="D10" s="10" t="s">
        <v>22</v>
      </c>
    </row>
    <row r="11" customFormat="false" ht="15" hidden="false" customHeight="false" outlineLevel="0" collapsed="false">
      <c r="A11" s="3" t="s">
        <v>23</v>
      </c>
      <c r="B11" s="16" t="n">
        <v>1100</v>
      </c>
      <c r="C11" s="5" t="s">
        <v>21</v>
      </c>
      <c r="D11" s="6" t="s">
        <v>22</v>
      </c>
    </row>
    <row r="12" customFormat="false" ht="15" hidden="false" customHeight="false" outlineLevel="0" collapsed="false">
      <c r="A12" s="7" t="s">
        <v>24</v>
      </c>
      <c r="B12" s="15" t="n">
        <v>1800</v>
      </c>
      <c r="C12" s="9" t="s">
        <v>21</v>
      </c>
      <c r="D12" s="10" t="s">
        <v>22</v>
      </c>
    </row>
    <row r="13" customFormat="false" ht="15" hidden="false" customHeight="false" outlineLevel="0" collapsed="false">
      <c r="A13" s="3" t="s">
        <v>25</v>
      </c>
      <c r="B13" s="16" t="n">
        <v>3500</v>
      </c>
      <c r="C13" s="5" t="s">
        <v>21</v>
      </c>
      <c r="D13" s="6" t="s">
        <v>26</v>
      </c>
    </row>
    <row r="14" customFormat="false" ht="15" hidden="false" customHeight="false" outlineLevel="0" collapsed="false">
      <c r="A14" s="14"/>
      <c r="C14" s="5"/>
      <c r="D14" s="6"/>
    </row>
    <row r="15" customFormat="false" ht="15" hidden="false" customHeight="false" outlineLevel="0" collapsed="false">
      <c r="A15" s="3" t="s">
        <v>27</v>
      </c>
      <c r="B15" s="13" t="n">
        <v>0</v>
      </c>
      <c r="C15" s="5" t="s">
        <v>28</v>
      </c>
      <c r="D15" s="6" t="s">
        <v>29</v>
      </c>
    </row>
    <row r="16" customFormat="false" ht="15" hidden="false" customHeight="false" outlineLevel="0" collapsed="false">
      <c r="A16" s="7" t="s">
        <v>30</v>
      </c>
      <c r="B16" s="17" t="n">
        <v>100</v>
      </c>
      <c r="C16" s="9" t="s">
        <v>28</v>
      </c>
      <c r="D16" s="10" t="s">
        <v>31</v>
      </c>
    </row>
    <row r="17" customFormat="false" ht="15" hidden="false" customHeight="false" outlineLevel="0" collapsed="false">
      <c r="A17" s="3" t="s">
        <v>32</v>
      </c>
      <c r="B17" s="4" t="n">
        <v>350</v>
      </c>
      <c r="C17" s="5" t="s">
        <v>28</v>
      </c>
      <c r="D17" s="6" t="s">
        <v>33</v>
      </c>
    </row>
    <row r="18" customFormat="false" ht="15" hidden="false" customHeight="false" outlineLevel="0" collapsed="false">
      <c r="A18" s="7" t="s">
        <v>34</v>
      </c>
      <c r="B18" s="17" t="n">
        <v>1250</v>
      </c>
      <c r="C18" s="9" t="s">
        <v>28</v>
      </c>
      <c r="D18" s="10" t="s">
        <v>35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20"/>
    <col collapsed="false" customWidth="true" hidden="false" outlineLevel="0" max="9" min="9" style="0" width="22"/>
    <col collapsed="false" customWidth="true" hidden="false" outlineLevel="0" max="11" min="10" style="0" width="16"/>
    <col collapsed="false" customWidth="true" hidden="false" outlineLevel="0" max="12" min="12" style="0" width="18"/>
    <col collapsed="false" customWidth="true" hidden="false" outlineLevel="0" max="13" min="13" style="0" width="20"/>
    <col collapsed="false" customWidth="true" hidden="false" outlineLevel="0" max="14" min="14" style="0" width="22"/>
    <col collapsed="false" customWidth="true" hidden="false" outlineLevel="0" max="15" min="15" style="0" width="16"/>
  </cols>
  <sheetData>
    <row r="1" customFormat="false" ht="36" hidden="false" customHeight="true" outlineLevel="0" collapsed="false">
      <c r="A1" s="1" t="s">
        <v>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true" outlineLevel="0" collapsed="false">
      <c r="A2" s="18" t="s">
        <v>37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customFormat="false" ht="15" hidden="false" customHeight="true" outlineLevel="0" collapsed="false">
      <c r="A3" s="19"/>
      <c r="B3" s="19"/>
      <c r="C3" s="19"/>
      <c r="D3" s="19" t="s">
        <v>38</v>
      </c>
      <c r="E3" s="19"/>
      <c r="F3" s="19"/>
      <c r="G3" s="19"/>
      <c r="H3" s="19"/>
      <c r="I3" s="19" t="s">
        <v>39</v>
      </c>
      <c r="J3" s="19"/>
      <c r="K3" s="19"/>
      <c r="L3" s="19"/>
      <c r="M3" s="19"/>
      <c r="N3" s="19"/>
      <c r="O3" s="19"/>
    </row>
    <row r="4" customFormat="false" ht="42" hidden="false" customHeight="true" outlineLevel="0" collapsed="false">
      <c r="A4" s="20" t="s">
        <v>40</v>
      </c>
      <c r="B4" s="20" t="s">
        <v>41</v>
      </c>
      <c r="C4" s="20" t="s">
        <v>42</v>
      </c>
      <c r="D4" s="20" t="s">
        <v>43</v>
      </c>
      <c r="E4" s="20" t="s">
        <v>44</v>
      </c>
      <c r="F4" s="20" t="s">
        <v>45</v>
      </c>
      <c r="G4" s="20" t="s">
        <v>46</v>
      </c>
      <c r="H4" s="20" t="s">
        <v>47</v>
      </c>
      <c r="I4" s="20" t="s">
        <v>48</v>
      </c>
      <c r="J4" s="20" t="s">
        <v>49</v>
      </c>
      <c r="K4" s="20" t="s">
        <v>50</v>
      </c>
      <c r="L4" s="20" t="s">
        <v>51</v>
      </c>
      <c r="M4" s="20" t="s">
        <v>52</v>
      </c>
      <c r="N4" s="20" t="s">
        <v>53</v>
      </c>
      <c r="O4" s="20" t="s">
        <v>54</v>
      </c>
    </row>
    <row r="5" customFormat="false" ht="15" hidden="false" customHeight="false" outlineLevel="0" collapsed="false">
      <c r="A5" s="21" t="s">
        <v>55</v>
      </c>
      <c r="B5" s="22" t="n">
        <f aca="false">Assumptions!$B$8</f>
        <v>1</v>
      </c>
      <c r="C5" s="23" t="n">
        <f aca="false">Assumptions!$B$13</f>
        <v>3500</v>
      </c>
      <c r="D5" s="24" t="n">
        <f aca="false">Assumptions!$B$3/10</f>
        <v>29.7</v>
      </c>
      <c r="E5" s="24" t="n">
        <f aca="false">C5*Assumptions!$B$4</f>
        <v>280</v>
      </c>
      <c r="F5" s="24" t="n">
        <f aca="false">C5*Assumptions!$B$5</f>
        <v>26.25</v>
      </c>
      <c r="G5" s="24" t="n">
        <f aca="false">Assumptions!$B$6/10</f>
        <v>4.2</v>
      </c>
      <c r="H5" s="25" t="n">
        <f aca="false">D5+E5+F5+G5</f>
        <v>340.15</v>
      </c>
      <c r="I5" s="26" t="n">
        <f aca="false">B5-H5</f>
        <v>-339.15</v>
      </c>
      <c r="J5" s="27" t="n">
        <f aca="false">IF(B5&gt;0,(B5-H5)/B5,0)</f>
        <v>-339.15</v>
      </c>
      <c r="K5" s="24" t="n">
        <f aca="false">Assumptions!$B$3/20</f>
        <v>14.85</v>
      </c>
      <c r="L5" s="24" t="n">
        <f aca="false">Assumptions!$B$6/20</f>
        <v>2.1</v>
      </c>
      <c r="M5" s="25" t="n">
        <f aca="false">K5+E5+F5+L5</f>
        <v>323.2</v>
      </c>
      <c r="N5" s="26" t="n">
        <f aca="false">B5-M5</f>
        <v>-322.2</v>
      </c>
      <c r="O5" s="27" t="n">
        <f aca="false">IF(B5&gt;0,(B5-M5)/B5,0)</f>
        <v>-322.2</v>
      </c>
    </row>
    <row r="6" customFormat="false" ht="15" hidden="false" customHeight="false" outlineLevel="0" collapsed="false">
      <c r="A6" s="28" t="s">
        <v>56</v>
      </c>
      <c r="B6" s="29" t="n">
        <f aca="false">Assumptions!$B$9</f>
        <v>0</v>
      </c>
      <c r="C6" s="30" t="n">
        <f aca="false">Assumptions!$B$14</f>
        <v>0</v>
      </c>
      <c r="D6" s="31" t="n">
        <f aca="false">Assumptions!$B$3/10</f>
        <v>29.7</v>
      </c>
      <c r="E6" s="31" t="n">
        <f aca="false">C6*Assumptions!$B$4</f>
        <v>0</v>
      </c>
      <c r="F6" s="31" t="n">
        <f aca="false">C6*Assumptions!$B$5</f>
        <v>0</v>
      </c>
      <c r="G6" s="31" t="n">
        <f aca="false">Assumptions!$B$6/10</f>
        <v>4.2</v>
      </c>
      <c r="H6" s="32" t="n">
        <f aca="false">D6+E6+F6+G6</f>
        <v>33.9</v>
      </c>
      <c r="I6" s="33" t="n">
        <f aca="false">B6-H6</f>
        <v>-33.9</v>
      </c>
      <c r="J6" s="34" t="n">
        <f aca="false">IF(B6&gt;0,(B6-H6)/B6,0)</f>
        <v>0</v>
      </c>
      <c r="K6" s="31" t="n">
        <f aca="false">Assumptions!$B$3/20</f>
        <v>14.85</v>
      </c>
      <c r="L6" s="31" t="n">
        <f aca="false">Assumptions!$B$6/20</f>
        <v>2.1</v>
      </c>
      <c r="M6" s="32" t="n">
        <f aca="false">K6+E6+F6+L6</f>
        <v>16.95</v>
      </c>
      <c r="N6" s="33" t="n">
        <f aca="false">B6-M6</f>
        <v>-16.95</v>
      </c>
      <c r="O6" s="34" t="n">
        <f aca="false">IF(B6&gt;0,(B6-M6)/B6,0)</f>
        <v>0</v>
      </c>
    </row>
    <row r="7" customFormat="false" ht="15" hidden="false" customHeight="false" outlineLevel="0" collapsed="false">
      <c r="A7" s="21" t="s">
        <v>57</v>
      </c>
      <c r="B7" s="22" t="n">
        <f aca="false">Assumptions!$B$10</f>
        <v>650</v>
      </c>
      <c r="C7" s="23" t="n">
        <f aca="false">Assumptions!$B$15</f>
        <v>0</v>
      </c>
      <c r="D7" s="24" t="n">
        <f aca="false">Assumptions!$B$3/10</f>
        <v>29.7</v>
      </c>
      <c r="E7" s="24" t="n">
        <f aca="false">C7*Assumptions!$B$4</f>
        <v>0</v>
      </c>
      <c r="F7" s="24" t="n">
        <f aca="false">C7*Assumptions!$B$5</f>
        <v>0</v>
      </c>
      <c r="G7" s="24" t="n">
        <f aca="false">Assumptions!$B$6/10</f>
        <v>4.2</v>
      </c>
      <c r="H7" s="25" t="n">
        <f aca="false">D7+E7+F7+G7</f>
        <v>33.9</v>
      </c>
      <c r="I7" s="26" t="n">
        <f aca="false">B7-H7</f>
        <v>616.1</v>
      </c>
      <c r="J7" s="27" t="n">
        <f aca="false">IF(B7&gt;0,(B7-H7)/B7,0)</f>
        <v>0.947846153846154</v>
      </c>
      <c r="K7" s="24" t="n">
        <f aca="false">Assumptions!$B$3/20</f>
        <v>14.85</v>
      </c>
      <c r="L7" s="24" t="n">
        <f aca="false">Assumptions!$B$6/20</f>
        <v>2.1</v>
      </c>
      <c r="M7" s="25" t="n">
        <f aca="false">K7+E7+F7+L7</f>
        <v>16.95</v>
      </c>
      <c r="N7" s="26" t="n">
        <f aca="false">B7-M7</f>
        <v>633.05</v>
      </c>
      <c r="O7" s="27" t="n">
        <f aca="false">IF(B7&gt;0,(B7-M7)/B7,0)</f>
        <v>0.973923076923077</v>
      </c>
    </row>
    <row r="8" customFormat="false" ht="15" hidden="false" customHeight="false" outlineLevel="0" collapsed="false">
      <c r="A8" s="28" t="s">
        <v>58</v>
      </c>
      <c r="B8" s="29" t="n">
        <f aca="false">Assumptions!$B$11</f>
        <v>1100</v>
      </c>
      <c r="C8" s="30" t="n">
        <f aca="false">Assumptions!$B$16</f>
        <v>100</v>
      </c>
      <c r="D8" s="31" t="n">
        <f aca="false">Assumptions!$B$3/10</f>
        <v>29.7</v>
      </c>
      <c r="E8" s="31" t="n">
        <f aca="false">C8*Assumptions!$B$4</f>
        <v>8</v>
      </c>
      <c r="F8" s="31" t="n">
        <f aca="false">C8*Assumptions!$B$5</f>
        <v>0.75</v>
      </c>
      <c r="G8" s="31" t="n">
        <f aca="false">Assumptions!$B$6/10</f>
        <v>4.2</v>
      </c>
      <c r="H8" s="32" t="n">
        <f aca="false">D8+E8+F8+G8</f>
        <v>42.65</v>
      </c>
      <c r="I8" s="33" t="n">
        <f aca="false">B8-H8</f>
        <v>1057.35</v>
      </c>
      <c r="J8" s="34" t="n">
        <f aca="false">IF(B8&gt;0,(B8-H8)/B8,0)</f>
        <v>0.961227272727273</v>
      </c>
      <c r="K8" s="31" t="n">
        <f aca="false">Assumptions!$B$3/20</f>
        <v>14.85</v>
      </c>
      <c r="L8" s="31" t="n">
        <f aca="false">Assumptions!$B$6/20</f>
        <v>2.1</v>
      </c>
      <c r="M8" s="32" t="n">
        <f aca="false">K8+E8+F8+L8</f>
        <v>25.7</v>
      </c>
      <c r="N8" s="33" t="n">
        <f aca="false">B8-M8</f>
        <v>1074.3</v>
      </c>
      <c r="O8" s="34" t="n">
        <f aca="false">IF(B8&gt;0,(B8-M8)/B8,0)</f>
        <v>0.976636363636364</v>
      </c>
    </row>
  </sheetData>
  <mergeCells count="5">
    <mergeCell ref="A1:O1"/>
    <mergeCell ref="A2:O2"/>
    <mergeCell ref="A3:C3"/>
    <mergeCell ref="D3:H3"/>
    <mergeCell ref="I3:O3"/>
  </mergeCells>
  <conditionalFormatting sqref="J5:J8">
    <cfRule type="colorScale" priority="2">
      <colorScale>
        <cfvo type="num" val="0"/>
        <cfvo type="num" val="0.775"/>
        <cfvo type="num" val="1"/>
        <color rgb="FFFF4C4C"/>
        <color rgb="FFFFFF00"/>
        <color rgb="FF00B050"/>
      </colorScale>
    </cfRule>
  </conditionalFormatting>
  <conditionalFormatting sqref="O5:O8">
    <cfRule type="colorScale" priority="3">
      <colorScale>
        <cfvo type="num" val="0"/>
        <cfvo type="num" val="0.775"/>
        <cfvo type="num" val="1"/>
        <color rgb="FFFF4C4C"/>
        <color rgb="FFFFFF00"/>
        <color rgb="FF00B05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2"/>
    <col collapsed="false" customWidth="true" hidden="false" outlineLevel="0" max="7" min="7" style="0" width="24"/>
    <col collapsed="false" customWidth="true" hidden="false" outlineLevel="0" max="8" min="8" style="0" width="14"/>
    <col collapsed="false" customWidth="true" hidden="false" outlineLevel="0" max="10" min="9" style="0" width="16"/>
    <col collapsed="false" customWidth="true" hidden="false" outlineLevel="0" max="11" min="11" style="0" width="14"/>
    <col collapsed="false" customWidth="true" hidden="false" outlineLevel="0" max="12" min="12" style="0" width="2"/>
  </cols>
  <sheetData>
    <row r="1" customFormat="false" ht="36" hidden="false" customHeight="true" outlineLevel="0" collapsed="false">
      <c r="A1" s="1" t="s">
        <v>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true" outlineLevel="0" collapsed="false">
      <c r="A2" s="35" t="s">
        <v>38</v>
      </c>
      <c r="B2" s="35"/>
      <c r="C2" s="35"/>
      <c r="D2" s="35"/>
      <c r="E2" s="35"/>
      <c r="F2" s="35"/>
      <c r="H2" s="35" t="s">
        <v>39</v>
      </c>
      <c r="I2" s="35"/>
      <c r="J2" s="35"/>
      <c r="K2" s="35"/>
      <c r="L2" s="35"/>
      <c r="M2" s="35"/>
    </row>
    <row r="3" customFormat="false" ht="36" hidden="false" customHeight="true" outlineLevel="0" collapsed="false">
      <c r="A3" s="20" t="s">
        <v>40</v>
      </c>
      <c r="B3" s="20" t="s">
        <v>60</v>
      </c>
      <c r="C3" s="20" t="s">
        <v>44</v>
      </c>
      <c r="D3" s="20" t="s">
        <v>45</v>
      </c>
      <c r="E3" s="20" t="s">
        <v>61</v>
      </c>
      <c r="F3" s="20" t="s">
        <v>62</v>
      </c>
      <c r="H3" s="20" t="s">
        <v>40</v>
      </c>
      <c r="I3" s="20" t="s">
        <v>63</v>
      </c>
      <c r="J3" s="20" t="s">
        <v>44</v>
      </c>
      <c r="K3" s="20" t="s">
        <v>45</v>
      </c>
      <c r="L3" s="20" t="s">
        <v>64</v>
      </c>
      <c r="M3" s="20" t="s">
        <v>62</v>
      </c>
    </row>
    <row r="4" customFormat="false" ht="15" hidden="false" customHeight="false" outlineLevel="0" collapsed="false">
      <c r="A4" s="36" t="str">
        <f aca="false">'COGS Analysis'!A5</f>
        <v>SalesMind Start</v>
      </c>
      <c r="B4" s="24" t="n">
        <f aca="false">Assumptions!$B$3/10</f>
        <v>29.7</v>
      </c>
      <c r="C4" s="24" t="n">
        <f aca="false">Assumptions!$B$13*Assumptions!$B$4</f>
        <v>280</v>
      </c>
      <c r="D4" s="24" t="n">
        <f aca="false">Assumptions!$B$13*Assumptions!$B$5</f>
        <v>26.25</v>
      </c>
      <c r="E4" s="24" t="n">
        <f aca="false">Assumptions!$B$6/10</f>
        <v>4.2</v>
      </c>
      <c r="F4" s="25" t="n">
        <f aca="false">SUM(B4:E4)</f>
        <v>340.15</v>
      </c>
      <c r="H4" s="36" t="str">
        <f aca="false">'COGS Analysis'!A5</f>
        <v>SalesMind Start</v>
      </c>
      <c r="I4" s="24" t="n">
        <f aca="false">Assumptions!$B$3/20</f>
        <v>14.85</v>
      </c>
      <c r="J4" s="24" t="n">
        <f aca="false">Assumptions!$B$13*Assumptions!$B$4</f>
        <v>280</v>
      </c>
      <c r="K4" s="24" t="n">
        <f aca="false">Assumptions!$B$13*Assumptions!$B$5</f>
        <v>26.25</v>
      </c>
      <c r="L4" s="24" t="n">
        <f aca="false">Assumptions!$B$6/20</f>
        <v>2.1</v>
      </c>
      <c r="M4" s="25" t="n">
        <f aca="false">SUM(I4:L4)</f>
        <v>323.2</v>
      </c>
    </row>
    <row r="5" customFormat="false" ht="15" hidden="false" customHeight="false" outlineLevel="0" collapsed="false">
      <c r="A5" s="37" t="str">
        <f aca="false">'COGS Analysis'!A6</f>
        <v>SalesMind Pro</v>
      </c>
      <c r="B5" s="31" t="n">
        <f aca="false">Assumptions!$B$3/10</f>
        <v>29.7</v>
      </c>
      <c r="C5" s="31" t="n">
        <f aca="false">Assumptions!$B$14*Assumptions!$B$4</f>
        <v>0</v>
      </c>
      <c r="D5" s="31" t="n">
        <f aca="false">Assumptions!$B$14*Assumptions!$B$5</f>
        <v>0</v>
      </c>
      <c r="E5" s="31" t="n">
        <f aca="false">Assumptions!$B$6/10</f>
        <v>4.2</v>
      </c>
      <c r="F5" s="32" t="n">
        <f aca="false">SUM(B5:E5)</f>
        <v>33.9</v>
      </c>
      <c r="H5" s="37" t="str">
        <f aca="false">'COGS Analysis'!A6</f>
        <v>SalesMind Pro</v>
      </c>
      <c r="I5" s="31" t="n">
        <f aca="false">Assumptions!$B$3/20</f>
        <v>14.85</v>
      </c>
      <c r="J5" s="31" t="n">
        <f aca="false">Assumptions!$B$14*Assumptions!$B$4</f>
        <v>0</v>
      </c>
      <c r="K5" s="31" t="n">
        <f aca="false">Assumptions!$B$14*Assumptions!$B$5</f>
        <v>0</v>
      </c>
      <c r="L5" s="31" t="n">
        <f aca="false">Assumptions!$B$6/20</f>
        <v>2.1</v>
      </c>
      <c r="M5" s="32" t="n">
        <f aca="false">SUM(I5:L5)</f>
        <v>16.95</v>
      </c>
    </row>
    <row r="6" customFormat="false" ht="15" hidden="false" customHeight="false" outlineLevel="0" collapsed="false">
      <c r="A6" s="36" t="str">
        <f aca="false">'COGS Analysis'!A7</f>
        <v>SalesMind Domination</v>
      </c>
      <c r="B6" s="24" t="n">
        <f aca="false">Assumptions!$B$3/10</f>
        <v>29.7</v>
      </c>
      <c r="C6" s="24" t="n">
        <f aca="false">Assumptions!$B$15*Assumptions!$B$4</f>
        <v>0</v>
      </c>
      <c r="D6" s="24" t="n">
        <f aca="false">Assumptions!$B$15*Assumptions!$B$5</f>
        <v>0</v>
      </c>
      <c r="E6" s="24" t="n">
        <f aca="false">Assumptions!$B$6/10</f>
        <v>4.2</v>
      </c>
      <c r="F6" s="25" t="n">
        <f aca="false">SUM(B6:E6)</f>
        <v>33.9</v>
      </c>
      <c r="H6" s="36" t="str">
        <f aca="false">'COGS Analysis'!A7</f>
        <v>SalesMind Domination</v>
      </c>
      <c r="I6" s="24" t="n">
        <f aca="false">Assumptions!$B$3/20</f>
        <v>14.85</v>
      </c>
      <c r="J6" s="24" t="n">
        <f aca="false">Assumptions!$B$15*Assumptions!$B$4</f>
        <v>0</v>
      </c>
      <c r="K6" s="24" t="n">
        <f aca="false">Assumptions!$B$15*Assumptions!$B$5</f>
        <v>0</v>
      </c>
      <c r="L6" s="24" t="n">
        <f aca="false">Assumptions!$B$6/20</f>
        <v>2.1</v>
      </c>
      <c r="M6" s="25" t="n">
        <f aca="false">SUM(I6:L6)</f>
        <v>16.95</v>
      </c>
    </row>
    <row r="7" customFormat="false" ht="15" hidden="false" customHeight="false" outlineLevel="0" collapsed="false">
      <c r="A7" s="37" t="str">
        <f aca="false">'COGS Analysis'!A8</f>
        <v>AIVoice Max Enterprise</v>
      </c>
      <c r="B7" s="31" t="n">
        <f aca="false">Assumptions!$B$3/10</f>
        <v>29.7</v>
      </c>
      <c r="C7" s="31" t="n">
        <f aca="false">Assumptions!$B$16*Assumptions!$B$4</f>
        <v>8</v>
      </c>
      <c r="D7" s="31" t="n">
        <f aca="false">Assumptions!$B$16*Assumptions!$B$5</f>
        <v>0.75</v>
      </c>
      <c r="E7" s="31" t="n">
        <f aca="false">Assumptions!$B$6/10</f>
        <v>4.2</v>
      </c>
      <c r="F7" s="32" t="n">
        <f aca="false">SUM(B7:E7)</f>
        <v>42.65</v>
      </c>
      <c r="H7" s="37" t="str">
        <f aca="false">'COGS Analysis'!A8</f>
        <v>AIVoice Max Enterprise</v>
      </c>
      <c r="I7" s="31" t="n">
        <f aca="false">Assumptions!$B$3/20</f>
        <v>14.85</v>
      </c>
      <c r="J7" s="31" t="n">
        <f aca="false">Assumptions!$B$16*Assumptions!$B$4</f>
        <v>8</v>
      </c>
      <c r="K7" s="31" t="n">
        <f aca="false">Assumptions!$B$16*Assumptions!$B$5</f>
        <v>0.75</v>
      </c>
      <c r="L7" s="31" t="n">
        <f aca="false">Assumptions!$B$6/20</f>
        <v>2.1</v>
      </c>
      <c r="M7" s="32" t="n">
        <f aca="false">SUM(I7:L7)</f>
        <v>25.7</v>
      </c>
    </row>
    <row r="8" customFormat="false" ht="15" hidden="false" customHeight="false" outlineLevel="0" collapsed="false">
      <c r="A8" s="38" t="s">
        <v>65</v>
      </c>
      <c r="B8" s="39" t="n">
        <f aca="false">AVERAGE(B4:B7)</f>
        <v>29.7</v>
      </c>
      <c r="C8" s="39" t="n">
        <f aca="false">AVERAGE(C4:C7)</f>
        <v>72</v>
      </c>
      <c r="D8" s="39" t="n">
        <f aca="false">AVERAGE(D4:D7)</f>
        <v>6.75</v>
      </c>
      <c r="E8" s="39" t="n">
        <f aca="false">AVERAGE(E4:E7)</f>
        <v>4.2</v>
      </c>
      <c r="F8" s="39" t="n">
        <f aca="false">AVERAGE(F4:F7)</f>
        <v>112.65</v>
      </c>
      <c r="H8" s="38" t="s">
        <v>65</v>
      </c>
      <c r="I8" s="39" t="n">
        <f aca="false">AVERAGE(I4:I7)</f>
        <v>14.85</v>
      </c>
      <c r="J8" s="39" t="n">
        <f aca="false">AVERAGE(J4:J7)</f>
        <v>72</v>
      </c>
      <c r="K8" s="39" t="n">
        <f aca="false">AVERAGE(K4:K7)</f>
        <v>6.75</v>
      </c>
      <c r="L8" s="39" t="n">
        <f aca="false">AVERAGE(L4:L7)</f>
        <v>2.1</v>
      </c>
      <c r="M8" s="39" t="n">
        <f aca="false">AVERAGE(M4:M7)</f>
        <v>95.7</v>
      </c>
    </row>
    <row r="10" customFormat="false" ht="15" hidden="false" customHeight="true" outlineLevel="0" collapsed="false">
      <c r="A10" s="40" t="s">
        <v>66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</row>
    <row r="11" customFormat="false" ht="15" hidden="false" customHeight="false" outlineLevel="0" collapsed="false">
      <c r="A11" s="20" t="s">
        <v>40</v>
      </c>
      <c r="B11" s="20" t="s">
        <v>67</v>
      </c>
      <c r="C11" s="20" t="s">
        <v>68</v>
      </c>
      <c r="D11" s="20" t="s">
        <v>69</v>
      </c>
      <c r="E11" s="20" t="s">
        <v>70</v>
      </c>
      <c r="G11" s="20" t="s">
        <v>40</v>
      </c>
      <c r="H11" s="20" t="s">
        <v>67</v>
      </c>
      <c r="I11" s="20" t="s">
        <v>71</v>
      </c>
      <c r="J11" s="20" t="s">
        <v>72</v>
      </c>
      <c r="K11" s="20" t="s">
        <v>73</v>
      </c>
    </row>
    <row r="12" customFormat="false" ht="15" hidden="false" customHeight="false" outlineLevel="0" collapsed="false">
      <c r="A12" s="41" t="s">
        <v>55</v>
      </c>
      <c r="B12" s="22" t="n">
        <f aca="false">Assumptions!$B$8</f>
        <v>1</v>
      </c>
      <c r="C12" s="42" t="n">
        <f aca="false">'COGS Analysis'!H5</f>
        <v>340.15</v>
      </c>
      <c r="D12" s="26" t="n">
        <f aca="false">B12-C12</f>
        <v>-339.15</v>
      </c>
      <c r="E12" s="27" t="n">
        <f aca="false">IF(B12&gt;0,(B12-C12)/B12,0)</f>
        <v>-339.15</v>
      </c>
      <c r="G12" s="41" t="s">
        <v>55</v>
      </c>
      <c r="H12" s="22" t="n">
        <f aca="false">Assumptions!$B$8</f>
        <v>1</v>
      </c>
      <c r="I12" s="42" t="n">
        <f aca="false">'COGS Analysis'!M5</f>
        <v>323.2</v>
      </c>
      <c r="J12" s="26" t="n">
        <f aca="false">H12-I12</f>
        <v>-322.2</v>
      </c>
      <c r="K12" s="27" t="n">
        <f aca="false">IF(H12&gt;0,(H12-I12)/H12,0)</f>
        <v>-322.2</v>
      </c>
    </row>
    <row r="13" customFormat="false" ht="15" hidden="false" customHeight="false" outlineLevel="0" collapsed="false">
      <c r="A13" s="43" t="s">
        <v>56</v>
      </c>
      <c r="B13" s="29" t="n">
        <f aca="false">Assumptions!$B$9</f>
        <v>0</v>
      </c>
      <c r="C13" s="44" t="n">
        <f aca="false">'COGS Analysis'!H6</f>
        <v>33.9</v>
      </c>
      <c r="D13" s="33" t="n">
        <f aca="false">B13-C13</f>
        <v>-33.9</v>
      </c>
      <c r="E13" s="34" t="n">
        <f aca="false">IF(B13&gt;0,(B13-C13)/B13,0)</f>
        <v>0</v>
      </c>
      <c r="G13" s="43" t="s">
        <v>56</v>
      </c>
      <c r="H13" s="29" t="n">
        <f aca="false">Assumptions!$B$9</f>
        <v>0</v>
      </c>
      <c r="I13" s="44" t="n">
        <f aca="false">'COGS Analysis'!M6</f>
        <v>16.95</v>
      </c>
      <c r="J13" s="33" t="n">
        <f aca="false">H13-I13</f>
        <v>-16.95</v>
      </c>
      <c r="K13" s="34" t="n">
        <f aca="false">IF(H13&gt;0,(H13-I13)/H13,0)</f>
        <v>0</v>
      </c>
    </row>
    <row r="14" customFormat="false" ht="15" hidden="false" customHeight="false" outlineLevel="0" collapsed="false">
      <c r="A14" s="41" t="s">
        <v>57</v>
      </c>
      <c r="B14" s="22" t="n">
        <f aca="false">Assumptions!$B$10</f>
        <v>650</v>
      </c>
      <c r="C14" s="42" t="n">
        <f aca="false">'COGS Analysis'!H7</f>
        <v>33.9</v>
      </c>
      <c r="D14" s="26" t="n">
        <f aca="false">B14-C14</f>
        <v>616.1</v>
      </c>
      <c r="E14" s="27" t="n">
        <f aca="false">IF(B14&gt;0,(B14-C14)/B14,0)</f>
        <v>0.947846153846154</v>
      </c>
      <c r="G14" s="41" t="s">
        <v>57</v>
      </c>
      <c r="H14" s="22" t="n">
        <f aca="false">Assumptions!$B$10</f>
        <v>650</v>
      </c>
      <c r="I14" s="42" t="n">
        <f aca="false">'COGS Analysis'!M7</f>
        <v>16.95</v>
      </c>
      <c r="J14" s="26" t="n">
        <f aca="false">H14-I14</f>
        <v>633.05</v>
      </c>
      <c r="K14" s="27" t="n">
        <f aca="false">IF(H14&gt;0,(H14-I14)/H14,0)</f>
        <v>0.973923076923077</v>
      </c>
    </row>
    <row r="15" customFormat="false" ht="15" hidden="false" customHeight="false" outlineLevel="0" collapsed="false">
      <c r="A15" s="43" t="s">
        <v>58</v>
      </c>
      <c r="B15" s="29" t="n">
        <f aca="false">Assumptions!$B$11</f>
        <v>1100</v>
      </c>
      <c r="C15" s="44" t="n">
        <f aca="false">'COGS Analysis'!H8</f>
        <v>42.65</v>
      </c>
      <c r="D15" s="33" t="n">
        <f aca="false">B15-C15</f>
        <v>1057.35</v>
      </c>
      <c r="E15" s="34" t="n">
        <f aca="false">IF(B15&gt;0,(B15-C15)/B15,0)</f>
        <v>0.961227272727273</v>
      </c>
      <c r="G15" s="43" t="s">
        <v>58</v>
      </c>
      <c r="H15" s="29" t="n">
        <f aca="false">Assumptions!$B$11</f>
        <v>1100</v>
      </c>
      <c r="I15" s="44" t="n">
        <f aca="false">'COGS Analysis'!M8</f>
        <v>25.7</v>
      </c>
      <c r="J15" s="33" t="n">
        <f aca="false">H15-I15</f>
        <v>1074.3</v>
      </c>
      <c r="K15" s="34" t="n">
        <f aca="false">IF(H15&gt;0,(H15-I15)/H15,0)</f>
        <v>0.976636363636364</v>
      </c>
    </row>
  </sheetData>
  <mergeCells count="4">
    <mergeCell ref="A1:L1"/>
    <mergeCell ref="A2:F2"/>
    <mergeCell ref="H2:M2"/>
    <mergeCell ref="A10:L10"/>
  </mergeCells>
  <conditionalFormatting sqref="E12:E15">
    <cfRule type="colorScale" priority="2">
      <colorScale>
        <cfvo type="num" val="0"/>
        <cfvo type="num" val="0.775"/>
        <cfvo type="num" val="1"/>
        <color rgb="FFFF4C4C"/>
        <color rgb="FFFFFF00"/>
        <color rgb="FF00B050"/>
      </colorScale>
    </cfRule>
  </conditionalFormatting>
  <conditionalFormatting sqref="K12:K15">
    <cfRule type="colorScale" priority="3">
      <colorScale>
        <cfvo type="num" val="0"/>
        <cfvo type="num" val="0.775"/>
        <cfvo type="num" val="1"/>
        <color rgb="FFFF4C4C"/>
        <color rgb="FFFFFF00"/>
        <color rgb="FF00B05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2026-05-25T09:07:37Z</dcterms:created>
  <dc:creator>openpyxl</dc:creator>
  <dc:description/>
  <dc:language>it-IT</dc:language>
  <cp:lastModifiedBy/>
  <dcterms:modified xsi:type="dcterms:W3CDTF">2026-05-25T09:07:37Z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