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P&amp;L 3y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€ #,##0"/>
    <numFmt numFmtId="166" formatCode="0.0"/>
    <numFmt numFmtId="167" formatCode="0.0&quot;x&quot;"/>
    <numFmt numFmtId="168" formatCode="€ #,##0;(€ #,##0);-"/>
    <numFmt numFmtId="169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168" fontId="9" fillId="3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6" customWidth="1" min="3" max="3"/>
  </cols>
  <sheetData>
    <row r="1" ht="30" customHeight="1">
      <c r="A1" s="1" t="inlineStr">
        <is>
          <t>TELESALES — FINANCIAL MODEL ASSUMPTIONS</t>
        </is>
      </c>
    </row>
    <row r="3">
      <c r="A3" s="2" t="inlineStr">
        <is>
          <t>REVENUE</t>
        </is>
      </c>
    </row>
    <row r="4">
      <c r="A4" s="3" t="inlineStr">
        <is>
          <t>Mix tier Starter (%)</t>
        </is>
      </c>
      <c r="B4" s="4" t="n">
        <v>0.3</v>
      </c>
    </row>
    <row r="5">
      <c r="A5" s="3" t="inlineStr">
        <is>
          <t>Mix tier Pro Hybrid (%)</t>
        </is>
      </c>
      <c r="B5" s="4" t="n">
        <v>0.6</v>
      </c>
    </row>
    <row r="6">
      <c r="A6" s="3" t="inlineStr">
        <is>
          <t>Mix tier Premium (%)</t>
        </is>
      </c>
      <c r="B6" s="4" t="n">
        <v>0.1</v>
      </c>
    </row>
    <row r="7">
      <c r="A7" s="3" t="inlineStr">
        <is>
          <t>Prezzo Starter €/mese</t>
        </is>
      </c>
      <c r="B7" s="5" t="n">
        <v>1490</v>
      </c>
    </row>
    <row r="8">
      <c r="A8" s="3" t="inlineStr">
        <is>
          <t>Prezzo Pro Hybrid €/mese</t>
        </is>
      </c>
      <c r="B8" s="5" t="n">
        <v>3290</v>
      </c>
    </row>
    <row r="9">
      <c r="A9" s="3" t="inlineStr">
        <is>
          <t>Prezzo Premium €/mese (blended con variable)</t>
        </is>
      </c>
      <c r="B9" s="5" t="n">
        <v>10000</v>
      </c>
    </row>
    <row r="10">
      <c r="A10" s="3" t="inlineStr">
        <is>
          <t>ARPU blended €/anno</t>
        </is>
      </c>
      <c r="B10" s="6">
        <f>SUMPRODUCT(B3:B5,B6:B8)*12</f>
        <v/>
      </c>
    </row>
    <row r="11">
      <c r="A11" s="3" t="inlineStr">
        <is>
          <t>Base customers (giu 2026)</t>
        </is>
      </c>
      <c r="B11" s="7" t="n">
        <v>12</v>
      </c>
    </row>
    <row r="12">
      <c r="A12" s="3" t="inlineStr">
        <is>
          <t>Net new customers/mese Y1</t>
        </is>
      </c>
      <c r="B12" s="8" t="n">
        <v>2.5</v>
      </c>
    </row>
    <row r="13">
      <c r="A13" s="3" t="inlineStr">
        <is>
          <t>Net new customers/mese Y2</t>
        </is>
      </c>
      <c r="B13" s="8" t="n">
        <v>5</v>
      </c>
    </row>
    <row r="14">
      <c r="A14" s="3" t="inlineStr">
        <is>
          <t>Net new customers/mese Y3</t>
        </is>
      </c>
      <c r="B14" s="8" t="n">
        <v>4</v>
      </c>
    </row>
    <row r="15">
      <c r="A15" s="3" t="inlineStr">
        <is>
          <t>Churn annuo %</t>
        </is>
      </c>
      <c r="B15" s="4" t="n">
        <v>0.18</v>
      </c>
    </row>
    <row r="16">
      <c r="A16" s="3" t="inlineStr">
        <is>
          <t>NRR — Net Revenue Retention</t>
        </is>
      </c>
      <c r="B16" s="4" t="n">
        <v>1.05</v>
      </c>
    </row>
    <row r="17">
      <c r="A17" s="2" t="inlineStr">
        <is>
          <t>COSTS</t>
        </is>
      </c>
    </row>
    <row r="18">
      <c r="A18" s="3" t="inlineStr">
        <is>
          <t>Gross margin % Y1</t>
        </is>
      </c>
      <c r="B18" s="4" t="n">
        <v>0.45</v>
      </c>
    </row>
    <row r="19">
      <c r="A19" s="3" t="inlineStr">
        <is>
          <t>Gross margin % Y2</t>
        </is>
      </c>
      <c r="B19" s="4" t="n">
        <v>0.51</v>
      </c>
    </row>
    <row r="20">
      <c r="A20" s="3" t="inlineStr">
        <is>
          <t>Gross margin % Y3</t>
        </is>
      </c>
      <c r="B20" s="4" t="n">
        <v>0.55</v>
      </c>
    </row>
    <row r="21">
      <c r="A21" s="3" t="inlineStr">
        <is>
          <t>CAC blended Y1 (€)</t>
        </is>
      </c>
      <c r="B21" s="5" t="n">
        <v>2000</v>
      </c>
    </row>
    <row r="22">
      <c r="A22" s="3" t="inlineStr">
        <is>
          <t>CAC blended Y2 (€)</t>
        </is>
      </c>
      <c r="B22" s="5" t="n">
        <v>1700</v>
      </c>
    </row>
    <row r="23">
      <c r="A23" s="3" t="inlineStr">
        <is>
          <t>CAC blended Y3 (€)</t>
        </is>
      </c>
      <c r="B23" s="5" t="n">
        <v>1500</v>
      </c>
    </row>
    <row r="24">
      <c r="A24" s="3" t="inlineStr">
        <is>
          <t>OpEx Y1 (€)</t>
        </is>
      </c>
      <c r="B24" s="5" t="n">
        <v>400000</v>
      </c>
    </row>
    <row r="25">
      <c r="A25" s="3" t="inlineStr">
        <is>
          <t>OpEx Y2 (€)</t>
        </is>
      </c>
      <c r="B25" s="5" t="n">
        <v>560000</v>
      </c>
    </row>
    <row r="26">
      <c r="A26" s="3" t="inlineStr">
        <is>
          <t>OpEx Y3 (€)</t>
        </is>
      </c>
      <c r="B26" s="5" t="n">
        <v>740000</v>
      </c>
    </row>
    <row r="27">
      <c r="A27" s="3" t="inlineStr">
        <is>
          <t>Tax rate effective</t>
        </is>
      </c>
      <c r="B27" s="4" t="n">
        <v>0.26</v>
      </c>
    </row>
  </sheetData>
  <mergeCells count="3">
    <mergeCell ref="A1:C1"/>
    <mergeCell ref="A3:C3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UNIT ECONOMICS — per cliente blended</t>
        </is>
      </c>
    </row>
    <row r="2">
      <c r="A2" s="9" t="inlineStr">
        <is>
          <t>Metric</t>
        </is>
      </c>
      <c r="B2" s="9" t="inlineStr">
        <is>
          <t>Y1</t>
        </is>
      </c>
      <c r="C2" s="9" t="inlineStr">
        <is>
          <t>Y2</t>
        </is>
      </c>
      <c r="D2" s="9" t="inlineStr">
        <is>
          <t>Y3</t>
        </is>
      </c>
    </row>
    <row r="3">
      <c r="A3" s="10" t="inlineStr">
        <is>
          <t>ARPU blended €/anno</t>
        </is>
      </c>
      <c r="B3" s="11">
        <f>Assumptions!B9</f>
        <v/>
      </c>
      <c r="C3" s="11">
        <f>Assumptions!B9</f>
        <v/>
      </c>
      <c r="D3" s="11">
        <f>Assumptions!B9</f>
        <v/>
      </c>
    </row>
    <row r="4">
      <c r="A4" s="10" t="inlineStr">
        <is>
          <t>Gross margin %</t>
        </is>
      </c>
      <c r="B4" s="12">
        <f>Assumptions!B17</f>
        <v/>
      </c>
      <c r="C4" s="12">
        <f>Assumptions!B18</f>
        <v/>
      </c>
      <c r="D4" s="12">
        <f>Assumptions!B19</f>
        <v/>
      </c>
    </row>
    <row r="5">
      <c r="A5" s="10" t="inlineStr">
        <is>
          <t>Gross profit per customer €</t>
        </is>
      </c>
      <c r="B5" s="11">
        <f>B3*B4</f>
        <v/>
      </c>
      <c r="C5" s="11">
        <f>C3*C4</f>
        <v/>
      </c>
      <c r="D5" s="11">
        <f>D3*D4</f>
        <v/>
      </c>
    </row>
    <row r="6">
      <c r="A6" s="10" t="inlineStr">
        <is>
          <t>CAC blended €</t>
        </is>
      </c>
      <c r="B6" s="11">
        <f>Assumptions!B20</f>
        <v/>
      </c>
      <c r="C6" s="11">
        <f>Assumptions!B21</f>
        <v/>
      </c>
      <c r="D6" s="11">
        <f>Assumptions!B22</f>
        <v/>
      </c>
    </row>
    <row r="7">
      <c r="A7" s="10" t="inlineStr">
        <is>
          <t>Retention media (anni)</t>
        </is>
      </c>
      <c r="B7" s="13">
        <f>1/Assumptions!B15</f>
        <v/>
      </c>
      <c r="C7" s="13">
        <f>1/Assumptions!B15</f>
        <v/>
      </c>
      <c r="D7" s="13">
        <f>1/Assumptions!B15</f>
        <v/>
      </c>
    </row>
    <row r="8">
      <c r="A8" s="10" t="inlineStr">
        <is>
          <t>LTV (no NRR) €</t>
        </is>
      </c>
      <c r="B8" s="14">
        <f>B3*B4*B7</f>
        <v/>
      </c>
      <c r="C8" s="14">
        <f>C3*C4*C7</f>
        <v/>
      </c>
      <c r="D8" s="14">
        <f>D3*D4*D7</f>
        <v/>
      </c>
    </row>
    <row r="9">
      <c r="A9" s="10" t="inlineStr">
        <is>
          <t>NRR-adjusted multiplier</t>
        </is>
      </c>
      <c r="B9" s="15">
        <f>1/(1-(Assumptions!B16-1))</f>
        <v/>
      </c>
      <c r="C9" s="15">
        <f>1/(1-(Assumptions!B16-1))</f>
        <v/>
      </c>
      <c r="D9" s="15">
        <f>1/(1-(Assumptions!B16-1))</f>
        <v/>
      </c>
    </row>
    <row r="10">
      <c r="A10" s="10" t="inlineStr">
        <is>
          <t>LTV (with NRR) €</t>
        </is>
      </c>
      <c r="B10" s="11">
        <f>B8*B9</f>
        <v/>
      </c>
      <c r="C10" s="11">
        <f>C8*C9</f>
        <v/>
      </c>
      <c r="D10" s="11">
        <f>D8*D9</f>
        <v/>
      </c>
    </row>
    <row r="11">
      <c r="A11" s="10" t="inlineStr">
        <is>
          <t>LTV:CAC ratio</t>
        </is>
      </c>
      <c r="B11" s="16">
        <f>B10/B6</f>
        <v/>
      </c>
      <c r="C11" s="16">
        <f>C10/C6</f>
        <v/>
      </c>
      <c r="D11" s="16">
        <f>D10/D6</f>
        <v/>
      </c>
    </row>
    <row r="12">
      <c r="A12" s="10" t="inlineStr">
        <is>
          <t>CAC payback (mesi)</t>
        </is>
      </c>
      <c r="B12" s="13">
        <f>B6/(B3/12*B4)</f>
        <v/>
      </c>
      <c r="C12" s="13">
        <f>C6/(C3/12*C4)</f>
        <v/>
      </c>
      <c r="D12" s="13">
        <f>D6/(D3/12*D4)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PROFIT &amp; LOSS — 3 anni base case</t>
        </is>
      </c>
    </row>
    <row r="2">
      <c r="A2" s="9" t="inlineStr">
        <is>
          <t>Voce €</t>
        </is>
      </c>
      <c r="B2" s="9" t="inlineStr">
        <is>
          <t>Y1 (Q4 2026)</t>
        </is>
      </c>
      <c r="C2" s="9" t="inlineStr">
        <is>
          <t>Y2 (Q4 2027)</t>
        </is>
      </c>
      <c r="D2" s="9" t="inlineStr">
        <is>
          <t>Y3 (Q4 2028)</t>
        </is>
      </c>
    </row>
    <row r="3">
      <c r="A3" s="10" t="inlineStr">
        <is>
          <t>Total customers fine periodo</t>
        </is>
      </c>
      <c r="B3" s="17">
        <f>Assumptions!B10+Assumptions!B11*12-(Assumptions!B10+Assumptions!B11*6)*Assumptions!B15</f>
        <v/>
      </c>
      <c r="C3" s="17">
        <f>B3+Assumptions!B12*12-(B3+Assumptions!B12*6)*Assumptions!B15</f>
        <v/>
      </c>
      <c r="D3" s="17">
        <f>C3+Assumptions!B13*12-(C3+Assumptions!B13*6)*Assumptions!B15</f>
        <v/>
      </c>
    </row>
    <row r="4">
      <c r="A4" s="10" t="inlineStr">
        <is>
          <t>Revenue (ARR run-rate) €</t>
        </is>
      </c>
      <c r="B4" s="18">
        <f>B3*Assumptions!B9</f>
        <v/>
      </c>
      <c r="C4" s="18">
        <f>C3*Assumptions!B9</f>
        <v/>
      </c>
      <c r="D4" s="18">
        <f>D3*Assumptions!B9</f>
        <v/>
      </c>
    </row>
    <row r="5">
      <c r="A5" s="10" t="inlineStr">
        <is>
          <t>Gross margin %</t>
        </is>
      </c>
      <c r="B5" s="19">
        <f>Assumptions!B17</f>
        <v/>
      </c>
      <c r="C5" s="19">
        <f>Assumptions!B18</f>
        <v/>
      </c>
      <c r="D5" s="19">
        <f>Assumptions!B19</f>
        <v/>
      </c>
    </row>
    <row r="6">
      <c r="A6" s="10" t="inlineStr">
        <is>
          <t>Gross profit €</t>
        </is>
      </c>
      <c r="B6" s="18">
        <f>B4*B5</f>
        <v/>
      </c>
      <c r="C6" s="18">
        <f>C4*C5</f>
        <v/>
      </c>
      <c r="D6" s="18">
        <f>D4*D5</f>
        <v/>
      </c>
    </row>
    <row r="7">
      <c r="A7" s="10" t="inlineStr">
        <is>
          <t>Marketing &amp; sales €</t>
        </is>
      </c>
      <c r="B7" s="20" t="n">
        <v>-200000</v>
      </c>
      <c r="C7" s="20" t="n">
        <v>-280000</v>
      </c>
      <c r="D7" s="20" t="n">
        <v>-350000</v>
      </c>
    </row>
    <row r="8">
      <c r="A8" s="10" t="inlineStr">
        <is>
          <t>R&amp;D / product €</t>
        </is>
      </c>
      <c r="B8" s="20" t="n">
        <v>-60000</v>
      </c>
      <c r="C8" s="20" t="n">
        <v>-100000</v>
      </c>
      <c r="D8" s="20" t="n">
        <v>-140000</v>
      </c>
    </row>
    <row r="9">
      <c r="A9" s="10" t="inlineStr">
        <is>
          <t>G&amp;A €</t>
        </is>
      </c>
      <c r="B9" s="20" t="n">
        <v>-140000</v>
      </c>
      <c r="C9" s="20" t="n">
        <v>-180000</v>
      </c>
      <c r="D9" s="20" t="n">
        <v>-250000</v>
      </c>
    </row>
    <row r="10">
      <c r="A10" s="10" t="inlineStr">
        <is>
          <t>Total OpEx €</t>
        </is>
      </c>
      <c r="B10" s="18">
        <f>SUM(B7:B9)</f>
        <v/>
      </c>
      <c r="C10" s="18">
        <f>SUM(C7:C9)</f>
        <v/>
      </c>
      <c r="D10" s="18">
        <f>SUM(D7:D9)</f>
        <v/>
      </c>
    </row>
    <row r="11">
      <c r="A11" s="21" t="inlineStr">
        <is>
          <t>EBITDA €</t>
        </is>
      </c>
      <c r="B11" s="22">
        <f>B6+B10</f>
        <v/>
      </c>
      <c r="C11" s="22">
        <f>C6+C10</f>
        <v/>
      </c>
      <c r="D11" s="22">
        <f>D6+D10</f>
        <v/>
      </c>
    </row>
    <row r="12">
      <c r="A12" s="10" t="inlineStr">
        <is>
          <t>EBITDA %</t>
        </is>
      </c>
      <c r="B12" s="19">
        <f>B11/B4</f>
        <v/>
      </c>
      <c r="C12" s="19">
        <f>C11/C4</f>
        <v/>
      </c>
      <c r="D12" s="19">
        <f>D11/D4</f>
        <v/>
      </c>
    </row>
    <row r="13">
      <c r="A13" s="10" t="inlineStr">
        <is>
          <t>Tax (su EBITDA positivo) €</t>
        </is>
      </c>
      <c r="B13" s="18">
        <f>IF(B11&gt;0,-B11*Assumptions!B24,0)</f>
        <v/>
      </c>
      <c r="C13" s="18">
        <f>IF(C11&gt;0,-C11*Assumptions!B24,0)</f>
        <v/>
      </c>
      <c r="D13" s="18">
        <f>IF(D11&gt;0,-D11*Assumptions!B24,0)</f>
        <v/>
      </c>
    </row>
    <row r="14">
      <c r="A14" s="10" t="inlineStr">
        <is>
          <t>Net Income €</t>
        </is>
      </c>
      <c r="B14" s="18">
        <f>B11+B13</f>
        <v/>
      </c>
      <c r="C14" s="18">
        <f>C11+C13</f>
        <v/>
      </c>
      <c r="D14" s="18">
        <f>D11+D13</f>
        <v/>
      </c>
    </row>
    <row r="15">
      <c r="A15" s="10" t="inlineStr">
        <is>
          <t>Net Income margin %</t>
        </is>
      </c>
      <c r="B15" s="19">
        <f>B14/B4</f>
        <v/>
      </c>
      <c r="C15" s="19">
        <f>C14/C4</f>
        <v/>
      </c>
      <c r="D15" s="19">
        <f>D14/D4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SENSITIVITY ANALYSIS — 3 scenari</t>
        </is>
      </c>
    </row>
    <row r="2">
      <c r="A2" s="9" t="inlineStr">
        <is>
          <t>Variabile</t>
        </is>
      </c>
      <c r="B2" s="9" t="inlineStr">
        <is>
          <t>Conservative</t>
        </is>
      </c>
      <c r="C2" s="9" t="inlineStr">
        <is>
          <t>Base</t>
        </is>
      </c>
      <c r="D2" s="9" t="inlineStr">
        <is>
          <t>Optimistic</t>
        </is>
      </c>
    </row>
    <row r="3">
      <c r="A3" s="10" t="inlineStr">
        <is>
          <t>Net new customers/mese Y1</t>
        </is>
      </c>
      <c r="B3" s="23" t="n">
        <v>1.5</v>
      </c>
      <c r="C3" s="23" t="n">
        <v>2.5</v>
      </c>
      <c r="D3" s="23" t="n">
        <v>4</v>
      </c>
    </row>
    <row r="4">
      <c r="A4" s="10" t="inlineStr">
        <is>
          <t>ARPU blended €</t>
        </is>
      </c>
      <c r="B4" s="24" t="n">
        <v>30000</v>
      </c>
      <c r="C4" s="24" t="n">
        <v>36252</v>
      </c>
      <c r="D4" s="24" t="n">
        <v>45000</v>
      </c>
    </row>
    <row r="5">
      <c r="A5" s="10" t="inlineStr">
        <is>
          <t>Churn annuo %</t>
        </is>
      </c>
      <c r="B5" s="4" t="n">
        <v>0.22</v>
      </c>
      <c r="C5" s="4" t="n">
        <v>0.18</v>
      </c>
      <c r="D5" s="4" t="n">
        <v>0.13</v>
      </c>
    </row>
    <row r="6">
      <c r="A6" s="10" t="inlineStr">
        <is>
          <t>CAC blended €</t>
        </is>
      </c>
      <c r="B6" s="24" t="n">
        <v>2500</v>
      </c>
      <c r="C6" s="24" t="n">
        <v>2000</v>
      </c>
      <c r="D6" s="24" t="n">
        <v>1700</v>
      </c>
    </row>
    <row r="7">
      <c r="A7" s="10" t="inlineStr">
        <is>
          <t>Gross margin %</t>
        </is>
      </c>
      <c r="B7" s="4" t="n">
        <v>0.4</v>
      </c>
      <c r="C7" s="4" t="n">
        <v>0.45</v>
      </c>
      <c r="D7" s="4" t="n">
        <v>0.55</v>
      </c>
    </row>
    <row r="8">
      <c r="A8" s="10" t="inlineStr"/>
      <c r="B8" s="25" t="inlineStr"/>
      <c r="C8" s="25" t="inlineStr"/>
      <c r="D8" s="25" t="inlineStr"/>
    </row>
    <row r="9">
      <c r="A9" s="26" t="inlineStr">
        <is>
          <t>OUTCOMES Y1</t>
        </is>
      </c>
      <c r="B9" s="27" t="inlineStr"/>
      <c r="C9" s="27" t="inlineStr"/>
      <c r="D9" s="27" t="inlineStr"/>
    </row>
    <row r="10">
      <c r="A10" s="10" t="inlineStr">
        <is>
          <t>Customers Y1 (Q4 2026)</t>
        </is>
      </c>
      <c r="B10" s="28">
        <f>12+B3*12-12*B5</f>
        <v/>
      </c>
      <c r="C10" s="28">
        <f>12+C3*12-12*C5</f>
        <v/>
      </c>
      <c r="D10" s="28">
        <f>12+D3*12-12*D5</f>
        <v/>
      </c>
    </row>
    <row r="11">
      <c r="A11" s="10" t="inlineStr">
        <is>
          <t>ARR Y1 €</t>
        </is>
      </c>
      <c r="B11" s="18">
        <f>B10*B4</f>
        <v/>
      </c>
      <c r="C11" s="18">
        <f>C10*C4</f>
        <v/>
      </c>
      <c r="D11" s="18">
        <f>D10*D4</f>
        <v/>
      </c>
    </row>
    <row r="12">
      <c r="A12" s="10" t="inlineStr">
        <is>
          <t>Gross profit Y1 €</t>
        </is>
      </c>
      <c r="B12" s="18">
        <f>B11*B7</f>
        <v/>
      </c>
      <c r="C12" s="18">
        <f>C11*C7</f>
        <v/>
      </c>
      <c r="D12" s="18">
        <f>D11*D7</f>
        <v/>
      </c>
    </row>
    <row r="13">
      <c r="A13" s="10" t="inlineStr">
        <is>
          <t>OPEX Y1 €</t>
        </is>
      </c>
      <c r="B13" s="24" t="n">
        <v>400000</v>
      </c>
      <c r="C13" s="24" t="n">
        <v>400000</v>
      </c>
      <c r="D13" s="24" t="n">
        <v>400000</v>
      </c>
    </row>
    <row r="14">
      <c r="A14" s="10" t="inlineStr">
        <is>
          <t>EBITDA Y1 €</t>
        </is>
      </c>
      <c r="B14" s="18">
        <f>B12-B13</f>
        <v/>
      </c>
      <c r="C14" s="18">
        <f>C12-C13</f>
        <v/>
      </c>
      <c r="D14" s="18">
        <f>D12-D13</f>
        <v/>
      </c>
    </row>
    <row r="15">
      <c r="A15" s="10" t="inlineStr">
        <is>
          <t>EBITDA % Y1</t>
        </is>
      </c>
      <c r="B15" s="19">
        <f>B14/B11</f>
        <v/>
      </c>
      <c r="C15" s="19">
        <f>C14/C11</f>
        <v/>
      </c>
      <c r="D15" s="19">
        <f>D14/D11</f>
        <v/>
      </c>
    </row>
    <row r="16">
      <c r="A16" s="26" t="inlineStr"/>
      <c r="B16" s="27" t="inlineStr"/>
      <c r="C16" s="27" t="inlineStr"/>
      <c r="D16" s="27" t="inlineStr"/>
    </row>
    <row r="17">
      <c r="A17" s="10" t="inlineStr">
        <is>
          <t>OUTCOMES Y3</t>
        </is>
      </c>
      <c r="B17" s="28" t="inlineStr"/>
      <c r="C17" s="28" t="inlineStr"/>
      <c r="D17" s="28" t="inlineStr"/>
    </row>
    <row r="18">
      <c r="A18" s="10" t="inlineStr">
        <is>
          <t>Customers Y3 €</t>
        </is>
      </c>
      <c r="B18" s="18">
        <f>B10+(B3+1)*24-(B10+B3*12)*B5*2</f>
        <v/>
      </c>
      <c r="C18" s="18">
        <f>C10+(C3+1)*24-(C10+C3*12)*C5*2</f>
        <v/>
      </c>
      <c r="D18" s="18">
        <f>D10+(D3+1)*24-(D10+D3*12)*D5*2</f>
        <v/>
      </c>
    </row>
    <row r="19">
      <c r="A19" t="inlineStr">
        <is>
          <t>ARR Y3 €</t>
        </is>
      </c>
      <c r="B19">
        <f>B17*B4</f>
        <v/>
      </c>
      <c r="C19">
        <f>C17*C4</f>
        <v/>
      </c>
      <c r="D19">
        <f>D17*D4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2026-05-16T14:28:16Z</dcterms:created>
  <dcterms:modified xmlns:dcterms="http://purl.org/dc/terms/" xmlns:xsi="http://www.w3.org/2001/XMLSchema-instance" xsi:type="dcterms:W3CDTF">2026-05-16T14:28:16Z</dcterms:modified>
</cp:coreProperties>
</file>