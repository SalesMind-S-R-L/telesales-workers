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0000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4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666"/>
      </patternFill>
    </fill>
    <fill>
      <patternFill patternType="solid">
        <fgColor rgb="00FFB266"/>
      </patternFill>
    </fill>
    <fill>
      <patternFill patternType="solid">
        <fgColor rgb="00FFFF66"/>
      </patternFill>
    </fill>
    <fill>
      <patternFill patternType="solid">
        <fgColor rgb="00B3E0FF"/>
      </patternFill>
    </fill>
    <fill>
      <patternFill patternType="solid">
        <fgColor rgb="00B3FFB3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8" borderId="1" pivotButton="0" quotePrefix="0" xfId="0"/>
    <xf numFmtId="164" fontId="2" fillId="8" borderId="1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6" customWidth="1" min="4" max="4"/>
    <col width="14" customWidth="1" min="5" max="5"/>
    <col width="12" customWidth="1" min="6" max="6"/>
    <col width="32" customWidth="1" min="7" max="7"/>
    <col width="42" customWidth="1" min="8" max="8"/>
    <col width="38" customWidth="1" min="9" max="9"/>
    <col width="14" customWidth="1" min="10" max="10"/>
    <col width="12" customWidth="1" min="11" max="11"/>
  </cols>
  <sheetData>
    <row r="1" ht="30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Risk</t>
        </is>
      </c>
      <c r="D1" s="1" t="inlineStr">
        <is>
          <t>Probability (1-5)</t>
        </is>
      </c>
      <c r="E1" s="1" t="inlineStr">
        <is>
          <t>Impact (1-5)</t>
        </is>
      </c>
      <c r="F1" s="1" t="inlineStr">
        <is>
          <t>Score (P×I)</t>
        </is>
      </c>
      <c r="G1" s="1" t="inlineStr">
        <is>
          <t>Early warning indicators</t>
        </is>
      </c>
      <c r="H1" s="1" t="inlineStr">
        <is>
          <t>Mitigation strategy</t>
        </is>
      </c>
      <c r="I1" s="1" t="inlineStr">
        <is>
          <t>Contingency plan</t>
        </is>
      </c>
      <c r="J1" s="1" t="inlineStr">
        <is>
          <t>Owner</t>
        </is>
      </c>
      <c r="K1" s="1" t="inlineStr">
        <is>
          <t>Status</t>
        </is>
      </c>
    </row>
    <row r="2">
      <c r="A2" s="2" t="inlineStr">
        <is>
          <t>R1</t>
        </is>
      </c>
      <c r="B2" s="2" t="inlineStr">
        <is>
          <t>Market</t>
        </is>
      </c>
      <c r="C2" s="2" t="inlineStr">
        <is>
          <t>Commoditization piattaforme Voice AI (Vapi/Synthflow italianizzano UX)</t>
        </is>
      </c>
      <c r="D2" s="2" t="n">
        <v>4</v>
      </c>
      <c r="E2" s="2" t="n">
        <v>4</v>
      </c>
      <c r="F2" s="3">
        <f>D2*E2</f>
        <v/>
      </c>
      <c r="G2" s="2" t="inlineStr">
        <is>
          <t>Brand-leadership + vertical depth + KB proprietaria</t>
        </is>
      </c>
      <c r="H2" s="2" t="inlineStr">
        <is>
          <t>Pivot a managed service premium + abbandono fascia low</t>
        </is>
      </c>
      <c r="I2" s="2" t="inlineStr">
        <is>
          <t>Founder</t>
        </is>
      </c>
      <c r="J2" s="2" t="inlineStr">
        <is>
          <t>Active</t>
        </is>
      </c>
      <c r="K2" s="4" t="n"/>
    </row>
    <row r="3">
      <c r="A3" s="2" t="inlineStr">
        <is>
          <t>R2</t>
        </is>
      </c>
      <c r="B3" s="2" t="inlineStr">
        <is>
          <t>Market</t>
        </is>
      </c>
      <c r="C3" s="2" t="inlineStr">
        <is>
          <t>Recession economica EU/IT 2026-2027</t>
        </is>
      </c>
      <c r="D3" s="2" t="n">
        <v>3</v>
      </c>
      <c r="E3" s="2" t="n">
        <v>3</v>
      </c>
      <c r="F3" s="5">
        <f>D3*E3</f>
        <v/>
      </c>
      <c r="G3" s="2" t="inlineStr">
        <is>
          <t>Diversificazione clienti + pricing flex + cash reserve 6m</t>
        </is>
      </c>
      <c r="H3" s="2" t="inlineStr">
        <is>
          <t>Freeze hiring + sconti retention -20%</t>
        </is>
      </c>
      <c r="I3" s="2" t="inlineStr">
        <is>
          <t>Founder</t>
        </is>
      </c>
      <c r="J3" s="2" t="inlineStr">
        <is>
          <t>Monitor</t>
        </is>
      </c>
      <c r="K3" s="6" t="n"/>
    </row>
    <row r="4">
      <c r="A4" s="2" t="inlineStr">
        <is>
          <t>R3</t>
        </is>
      </c>
      <c r="B4" s="2" t="inlineStr">
        <is>
          <t>Market</t>
        </is>
      </c>
      <c r="C4" s="2" t="inlineStr">
        <is>
          <t>Sierra/Parloa/NICE scendono a PMI</t>
        </is>
      </c>
      <c r="D4" s="2" t="n">
        <v>2</v>
      </c>
      <c r="E4" s="2" t="n">
        <v>4</v>
      </c>
      <c r="F4" s="5">
        <f>D4*E4</f>
        <v/>
      </c>
      <c r="G4" s="2" t="inlineStr">
        <is>
          <t>Customer loyalty + casi studio PMI prima 2028</t>
        </is>
      </c>
      <c r="H4" s="2" t="inlineStr">
        <is>
          <t>Posizionarsi come Parloa partner / M&amp;A friendly</t>
        </is>
      </c>
      <c r="I4" s="2" t="inlineStr">
        <is>
          <t>Founder</t>
        </is>
      </c>
      <c r="J4" s="2" t="inlineStr">
        <is>
          <t>Monitor</t>
        </is>
      </c>
      <c r="K4" s="6" t="n"/>
    </row>
    <row r="5">
      <c r="A5" s="2" t="inlineStr">
        <is>
          <t>R4</t>
        </is>
      </c>
      <c r="B5" s="2" t="inlineStr">
        <is>
          <t>Operational</t>
        </is>
      </c>
      <c r="C5" s="2" t="inlineStr">
        <is>
          <t>Dipendenza tecnica da ElevenLabs (single supplier)</t>
        </is>
      </c>
      <c r="D5" s="2" t="n">
        <v>3</v>
      </c>
      <c r="E5" s="2" t="n">
        <v>4</v>
      </c>
      <c r="F5" s="7">
        <f>D5*E5</f>
        <v/>
      </c>
      <c r="G5" s="2" t="inlineStr">
        <is>
          <t>Multi-vendor stack: Cartesia + Deepgram + contratto enterprise</t>
        </is>
      </c>
      <c r="H5" s="2" t="inlineStr">
        <is>
          <t>Switch a Cartesia per nuovi clienti in 30 gg</t>
        </is>
      </c>
      <c r="I5" s="2" t="inlineStr">
        <is>
          <t>Tech lead</t>
        </is>
      </c>
      <c r="J5" s="2" t="inlineStr">
        <is>
          <t>Active</t>
        </is>
      </c>
      <c r="K5" s="4" t="n"/>
    </row>
    <row r="6">
      <c r="A6" s="2" t="inlineStr">
        <is>
          <t>R5</t>
        </is>
      </c>
      <c r="B6" s="2" t="inlineStr">
        <is>
          <t>Operational</t>
        </is>
      </c>
      <c r="C6" s="2" t="inlineStr">
        <is>
          <t>Founder bandwidth saturato / key person dependency</t>
        </is>
      </c>
      <c r="D6" s="2" t="n">
        <v>4</v>
      </c>
      <c r="E6" s="2" t="n">
        <v>3</v>
      </c>
      <c r="F6" s="7">
        <f>D6*E6</f>
        <v/>
      </c>
      <c r="G6" s="2" t="inlineStr">
        <is>
          <t>Hire marketing mgr giu 2026 + AE Q1 2027 + docs Notion</t>
        </is>
      </c>
      <c r="H6" s="2" t="inlineStr">
        <is>
          <t>Setter senior promosso interim COO</t>
        </is>
      </c>
      <c r="I6" s="2" t="inlineStr">
        <is>
          <t>Founder</t>
        </is>
      </c>
      <c r="J6" s="2" t="inlineStr">
        <is>
          <t>Critical</t>
        </is>
      </c>
      <c r="K6" s="8" t="n"/>
    </row>
    <row r="7">
      <c r="A7" s="2" t="inlineStr">
        <is>
          <t>R6</t>
        </is>
      </c>
      <c r="B7" s="2" t="inlineStr">
        <is>
          <t>Operational</t>
        </is>
      </c>
      <c r="C7" s="2" t="inlineStr">
        <is>
          <t>Setter umano turnover (Karima/Barbara)</t>
        </is>
      </c>
      <c r="D7" s="2" t="n">
        <v>3</v>
      </c>
      <c r="E7" s="2" t="n">
        <v>3</v>
      </c>
      <c r="F7" s="5">
        <f>D7*E7</f>
        <v/>
      </c>
      <c r="G7" s="2" t="inlineStr">
        <is>
          <t>Bonus + career path + backup setter</t>
        </is>
      </c>
      <c r="H7" s="2" t="inlineStr">
        <is>
          <t>Redistribuzione 2 sett + hire urgente ex-BPO</t>
        </is>
      </c>
      <c r="I7" s="2" t="inlineStr">
        <is>
          <t>HR</t>
        </is>
      </c>
      <c r="J7" s="2" t="inlineStr">
        <is>
          <t>Monitor</t>
        </is>
      </c>
      <c r="K7" s="6" t="n"/>
    </row>
    <row r="8">
      <c r="A8" s="2" t="inlineStr">
        <is>
          <t>R7</t>
        </is>
      </c>
      <c r="B8" s="2" t="inlineStr">
        <is>
          <t>Financial</t>
        </is>
      </c>
      <c r="C8" s="2" t="inlineStr">
        <is>
          <t>Cash flow stress da onboarding lungo / pagamento ritardato</t>
        </is>
      </c>
      <c r="D8" s="2" t="n">
        <v>3</v>
      </c>
      <c r="E8" s="2" t="n">
        <v>3</v>
      </c>
      <c r="F8" s="5">
        <f>D8*E8</f>
        <v/>
      </c>
      <c r="G8" s="2" t="inlineStr">
        <is>
          <t>Stripe automation + annuali upfront + linea credito €100-200k</t>
        </is>
      </c>
      <c r="H8" s="2" t="inlineStr">
        <is>
          <t>Rallentare hiring 1 trimestre; new logo upfront only</t>
        </is>
      </c>
      <c r="I8" s="2" t="inlineStr">
        <is>
          <t>CFO/Founder</t>
        </is>
      </c>
      <c r="J8" s="2" t="inlineStr">
        <is>
          <t>Monitor</t>
        </is>
      </c>
      <c r="K8" s="6" t="n"/>
    </row>
    <row r="9">
      <c r="A9" s="2" t="inlineStr">
        <is>
          <t>R8</t>
        </is>
      </c>
      <c r="B9" s="2" t="inlineStr">
        <is>
          <t>Financial</t>
        </is>
      </c>
      <c r="C9" s="2" t="inlineStr">
        <is>
          <t>CAC blended esplode (&gt;€3.000)</t>
        </is>
      </c>
      <c r="D9" s="2" t="n">
        <v>3</v>
      </c>
      <c r="E9" s="2" t="n">
        <v>4</v>
      </c>
      <c r="F9" s="7">
        <f>D9*E9</f>
        <v/>
      </c>
      <c r="G9" s="2" t="inlineStr">
        <is>
          <t>Diversificare canali; 35% referral; content marketing</t>
        </is>
      </c>
      <c r="H9" s="2" t="inlineStr">
        <is>
          <t>Shift budget verso referral; rivedere ICP tight</t>
        </is>
      </c>
      <c r="I9" s="2" t="inlineStr">
        <is>
          <t>Marketing mgr</t>
        </is>
      </c>
      <c r="J9" s="2" t="inlineStr">
        <is>
          <t>Active</t>
        </is>
      </c>
      <c r="K9" s="4" t="n"/>
    </row>
    <row r="10">
      <c r="A10" s="2" t="inlineStr">
        <is>
          <t>R9</t>
        </is>
      </c>
      <c r="B10" s="2" t="inlineStr">
        <is>
          <t>Financial</t>
        </is>
      </c>
      <c r="C10" s="2" t="inlineStr">
        <is>
          <t>Currency rischi (USD up vs EUR)</t>
        </is>
      </c>
      <c r="D10" s="2" t="n">
        <v>2</v>
      </c>
      <c r="E10" s="2" t="n">
        <v>2</v>
      </c>
      <c r="F10" s="9">
        <f>D10*E10</f>
        <v/>
      </c>
      <c r="G10" s="2" t="inlineStr">
        <is>
          <t>Hedging valutario se &gt;€100k esposizione/anno; preferire vendor EU</t>
        </is>
      </c>
      <c r="H10" s="2" t="inlineStr">
        <is>
          <t>Pass-through pricing cliente con clausola FX</t>
        </is>
      </c>
      <c r="I10" s="2" t="inlineStr">
        <is>
          <t>CFO</t>
        </is>
      </c>
      <c r="J10" s="2" t="inlineStr">
        <is>
          <t>Monitor</t>
        </is>
      </c>
      <c r="K10" s="6" t="n"/>
    </row>
    <row r="11">
      <c r="A11" s="2" t="inlineStr">
        <is>
          <t>R10</t>
        </is>
      </c>
      <c r="B11" s="2" t="inlineStr">
        <is>
          <t>Regulatory</t>
        </is>
      </c>
      <c r="C11" s="2" t="inlineStr">
        <is>
          <t>AI Act Art. 50 non-compliance al 2 ago 2026</t>
        </is>
      </c>
      <c r="D11" s="2" t="n">
        <v>5</v>
      </c>
      <c r="E11" s="2" t="n">
        <v>4</v>
      </c>
      <c r="F11" s="3">
        <f>D11*E11</f>
        <v/>
      </c>
      <c r="G11" s="2" t="inlineStr">
        <is>
          <t>Disclosure vocale entro 15 lug 2026 + DPA + consulente</t>
        </is>
      </c>
      <c r="H11" s="2" t="inlineStr">
        <is>
          <t>Pausa servizio AI Voice automatizzato fino a compliance</t>
        </is>
      </c>
      <c r="I11" s="2" t="inlineStr">
        <is>
          <t>Founder + DPA</t>
        </is>
      </c>
      <c r="J11" s="2" t="inlineStr">
        <is>
          <t>Critical</t>
        </is>
      </c>
      <c r="K11" s="8" t="n"/>
    </row>
    <row r="12">
      <c r="A12" s="2" t="inlineStr">
        <is>
          <t>R11</t>
        </is>
      </c>
      <c r="B12" s="2" t="inlineStr">
        <is>
          <t>Regulatory</t>
        </is>
      </c>
      <c r="C12" s="2" t="inlineStr">
        <is>
          <t>Sanzione Garante per cliente B2C riattivazione (filiera)</t>
        </is>
      </c>
      <c r="D12" s="2" t="n">
        <v>2</v>
      </c>
      <c r="E12" s="2" t="n">
        <v>5</v>
      </c>
      <c r="F12" s="7">
        <f>D12*E12</f>
        <v/>
      </c>
      <c r="G12" s="2" t="inlineStr">
        <is>
          <t>Lead provenance audit obbligatorio + clausola indennità + DPA audit right</t>
        </is>
      </c>
      <c r="H12" s="2" t="inlineStr">
        <is>
          <t>Separazione legal entity B2C; insurance D&amp;O</t>
        </is>
      </c>
      <c r="I12" s="2" t="inlineStr">
        <is>
          <t>Founder + DPA</t>
        </is>
      </c>
      <c r="J12" s="2" t="inlineStr">
        <is>
          <t>Active</t>
        </is>
      </c>
      <c r="K12" s="4" t="n"/>
    </row>
    <row r="13">
      <c r="A13" s="2" t="inlineStr">
        <is>
          <t>R12</t>
        </is>
      </c>
      <c r="B13" s="2" t="inlineStr">
        <is>
          <t>Regulatory</t>
        </is>
      </c>
      <c r="C13" s="2" t="inlineStr">
        <is>
          <t>Class action consumatori contro Telesales o filiera</t>
        </is>
      </c>
      <c r="D13" s="2" t="n">
        <v>2</v>
      </c>
      <c r="E13" s="2" t="n">
        <v>4</v>
      </c>
      <c r="F13" s="5">
        <f>D13*E13</f>
        <v/>
      </c>
      <c r="G13" s="2" t="inlineStr">
        <is>
          <t>Compliance-first + due diligence cliente + insurance</t>
        </is>
      </c>
      <c r="H13" s="2" t="inlineStr">
        <is>
          <t>Insurance €1-3M coverage; legal hold</t>
        </is>
      </c>
      <c r="I13" s="2" t="inlineStr">
        <is>
          <t>Founder</t>
        </is>
      </c>
      <c r="J13" s="2" t="inlineStr">
        <is>
          <t>Monitor</t>
        </is>
      </c>
      <c r="K13" s="6" t="n"/>
    </row>
    <row r="14">
      <c r="A14" s="2" t="inlineStr">
        <is>
          <t>R13</t>
        </is>
      </c>
      <c r="B14" s="2" t="inlineStr">
        <is>
          <t>Reputational</t>
        </is>
      </c>
      <c r="C14" s="2" t="inlineStr">
        <is>
          <t>Voice AI scandal (clone fraud, impersonation)</t>
        </is>
      </c>
      <c r="D14" s="2" t="n">
        <v>2</v>
      </c>
      <c r="E14" s="2" t="n">
        <v>5</v>
      </c>
      <c r="F14" s="7">
        <f>D14*E14</f>
        <v/>
      </c>
      <c r="G14" s="2" t="inlineStr">
        <is>
          <t>Voice cloning consensuale + watermark + audit trail + clausola</t>
        </is>
      </c>
      <c r="H14" s="2" t="inlineStr">
        <is>
          <t>Cessazione immediata cliente + comunicato stampa</t>
        </is>
      </c>
      <c r="I14" s="2" t="inlineStr">
        <is>
          <t>Founder</t>
        </is>
      </c>
      <c r="J14" s="2" t="inlineStr">
        <is>
          <t>Monitor</t>
        </is>
      </c>
      <c r="K14" s="6" t="n"/>
    </row>
    <row r="15">
      <c r="A15" s="2" t="inlineStr">
        <is>
          <t>R14</t>
        </is>
      </c>
      <c r="B15" s="2" t="inlineStr">
        <is>
          <t>Reputational</t>
        </is>
      </c>
      <c r="C15" s="2" t="inlineStr">
        <is>
          <t>Data breach (cliente DB lead esposto)</t>
        </is>
      </c>
      <c r="D15" s="2" t="n">
        <v>2</v>
      </c>
      <c r="E15" s="2" t="n">
        <v>5</v>
      </c>
      <c r="F15" s="7">
        <f>D15*E15</f>
        <v/>
      </c>
      <c r="G15" s="2" t="inlineStr">
        <is>
          <t>GHL+Cloudflare+Cribis SOC 2 + 2FA + pen test annuale + cyber insurance</t>
        </is>
      </c>
      <c r="H15" s="2" t="inlineStr">
        <is>
          <t>Incident response; notifica Garante &lt;72h</t>
        </is>
      </c>
      <c r="I15" s="2" t="inlineStr">
        <is>
          <t>Tech lead</t>
        </is>
      </c>
      <c r="J15" s="2" t="inlineStr">
        <is>
          <t>Monitor</t>
        </is>
      </c>
      <c r="K15" s="6" t="n"/>
    </row>
    <row r="16">
      <c r="A16" s="2" t="inlineStr">
        <is>
          <t>R15</t>
        </is>
      </c>
      <c r="B16" s="2" t="inlineStr">
        <is>
          <t>Reputational</t>
        </is>
      </c>
      <c r="C16" s="2" t="inlineStr">
        <is>
          <t>Reputational contagion (associazione cliente B2C controverso)</t>
        </is>
      </c>
      <c r="D16" s="2" t="n">
        <v>3</v>
      </c>
      <c r="E16" s="2" t="n">
        <v>3</v>
      </c>
      <c r="F16" s="5">
        <f>D16*E16</f>
        <v/>
      </c>
      <c r="G16" s="2" t="inlineStr">
        <is>
          <t>Due diligence cliente; separazione brand B2C; PR proattiva</t>
        </is>
      </c>
      <c r="H16" s="2" t="inlineStr">
        <is>
          <t>Termination clausola contratto se cliente in litigation</t>
        </is>
      </c>
      <c r="I16" s="2" t="inlineStr">
        <is>
          <t>Founder</t>
        </is>
      </c>
      <c r="J16" s="2" t="inlineStr">
        <is>
          <t>Monitor</t>
        </is>
      </c>
      <c r="K1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</cols>
  <sheetData>
    <row r="1">
      <c r="A1" s="10" t="inlineStr">
        <is>
          <t>Risk Summary by Category</t>
        </is>
      </c>
    </row>
    <row r="3" ht="30" customHeight="1">
      <c r="A3" s="1" t="inlineStr">
        <is>
          <t>Categoria</t>
        </is>
      </c>
      <c r="B3" s="1" t="inlineStr">
        <is>
          <t># risk</t>
        </is>
      </c>
      <c r="C3" s="1" t="inlineStr">
        <is>
          <t>Score totale</t>
        </is>
      </c>
      <c r="D3" s="1" t="inlineStr">
        <is>
          <t>Score medio</t>
        </is>
      </c>
    </row>
    <row r="4">
      <c r="A4" s="11" t="inlineStr">
        <is>
          <t>Market</t>
        </is>
      </c>
      <c r="B4" s="11">
        <f>COUNTIF('Risk Matrix'!B:B,"Market")</f>
        <v/>
      </c>
      <c r="C4" s="11">
        <f>SUMIF('Risk Matrix'!B:B,"Market",'Risk Matrix'!F:F)</f>
        <v/>
      </c>
      <c r="D4" s="12">
        <f>IFERROR(C4/B4,0)</f>
        <v/>
      </c>
    </row>
    <row r="5">
      <c r="A5" s="11" t="inlineStr">
        <is>
          <t>Operational</t>
        </is>
      </c>
      <c r="B5" s="11">
        <f>COUNTIF('Risk Matrix'!B:B,"Operational")</f>
        <v/>
      </c>
      <c r="C5" s="11">
        <f>SUMIF('Risk Matrix'!B:B,"Operational",'Risk Matrix'!F:F)</f>
        <v/>
      </c>
      <c r="D5" s="12">
        <f>IFERROR(C5/B5,0)</f>
        <v/>
      </c>
    </row>
    <row r="6">
      <c r="A6" s="11" t="inlineStr">
        <is>
          <t>Financial</t>
        </is>
      </c>
      <c r="B6" s="11">
        <f>COUNTIF('Risk Matrix'!B:B,"Financial")</f>
        <v/>
      </c>
      <c r="C6" s="11">
        <f>SUMIF('Risk Matrix'!B:B,"Financial",'Risk Matrix'!F:F)</f>
        <v/>
      </c>
      <c r="D6" s="12">
        <f>IFERROR(C6/B6,0)</f>
        <v/>
      </c>
    </row>
    <row r="7">
      <c r="A7" s="11" t="inlineStr">
        <is>
          <t>Regulatory</t>
        </is>
      </c>
      <c r="B7" s="11">
        <f>COUNTIF('Risk Matrix'!B:B,"Regulatory")</f>
        <v/>
      </c>
      <c r="C7" s="11">
        <f>SUMIF('Risk Matrix'!B:B,"Regulatory",'Risk Matrix'!F:F)</f>
        <v/>
      </c>
      <c r="D7" s="12">
        <f>IFERROR(C7/B7,0)</f>
        <v/>
      </c>
    </row>
    <row r="8">
      <c r="A8" s="11" t="inlineStr">
        <is>
          <t>Reputational</t>
        </is>
      </c>
      <c r="B8" s="11">
        <f>COUNTIF('Risk Matrix'!B:B,"Reputational")</f>
        <v/>
      </c>
      <c r="C8" s="11">
        <f>SUMIF('Risk Matrix'!B:B,"Reputational",'Risk Matrix'!F:F)</f>
        <v/>
      </c>
      <c r="D8" s="12">
        <f>IFERROR(C8/B8,0)</f>
        <v/>
      </c>
    </row>
    <row r="10">
      <c r="A10" s="13" t="inlineStr">
        <is>
          <t>TOTALE</t>
        </is>
      </c>
      <c r="B10" s="13">
        <f>SUM(B4:B8)</f>
        <v/>
      </c>
      <c r="C10" s="13">
        <f>SUM(C4:C8)</f>
        <v/>
      </c>
      <c r="D10" s="14">
        <f>IFERROR(C10/B10,0)</f>
        <v/>
      </c>
    </row>
    <row r="12">
      <c r="A12" s="15" t="inlineStr">
        <is>
          <t>Risk Score legend (P × I)</t>
        </is>
      </c>
    </row>
    <row r="13">
      <c r="A13" s="16" t="inlineStr">
        <is>
          <t>15-25 (Critical)</t>
        </is>
      </c>
      <c r="B13" s="17" t="inlineStr">
        <is>
          <t>Azione immediata richiesta</t>
        </is>
      </c>
    </row>
    <row r="14">
      <c r="A14" s="18" t="inlineStr">
        <is>
          <t>10-14 (Active)</t>
        </is>
      </c>
      <c r="B14" s="17" t="inlineStr">
        <is>
          <t>Mitigation attiva continua</t>
        </is>
      </c>
    </row>
    <row r="15">
      <c r="A15" s="19" t="inlineStr">
        <is>
          <t>7-9 (Monitor)</t>
        </is>
      </c>
      <c r="B15" s="17" t="inlineStr">
        <is>
          <t>Monitorare trimestralmente</t>
        </is>
      </c>
    </row>
    <row r="16">
      <c r="A16" s="20" t="inlineStr">
        <is>
          <t>1-6 (Accept)</t>
        </is>
      </c>
      <c r="B16" s="17" t="inlineStr">
        <is>
          <t>Rischio accettabile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2026-05-16T14:28:16Z</dcterms:created>
  <dcterms:modified xmlns:dcterms="http://purl.org/dc/terms/" xmlns:xsi="http://www.w3.org/2001/XMLSchema-instance" xsi:type="dcterms:W3CDTF">2026-05-16T14:28:16Z</dcterms:modified>
</cp:coreProperties>
</file>