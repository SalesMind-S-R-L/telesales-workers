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Tiers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 #,##0"/>
    <numFmt numFmtId="165" formatCode="0.0%"/>
    <numFmt numFmtId="166" formatCode="0.0"/>
    <numFmt numFmtId="167" formatCode="0.0&quot;x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30" customWidth="1" min="3" max="3"/>
    <col width="36" customWidth="1" min="4" max="4"/>
  </cols>
  <sheetData>
    <row r="1" ht="30" customHeight="1">
      <c r="A1" s="1" t="inlineStr">
        <is>
          <t>TELESALES — LISTINO 2026/2027</t>
        </is>
      </c>
    </row>
    <row r="2">
      <c r="A2" t="inlineStr"/>
      <c r="B2" t="inlineStr"/>
      <c r="C2" t="inlineStr"/>
      <c r="D2" t="inlineStr"/>
    </row>
    <row r="3">
      <c r="A3" s="2" t="inlineStr"/>
      <c r="B3" s="3" t="inlineStr">
        <is>
          <t>STARTER AI-only</t>
        </is>
      </c>
      <c r="C3" s="3" t="inlineStr">
        <is>
          <t>PRO HYBRID (consigliato)</t>
        </is>
      </c>
      <c r="D3" s="3" t="inlineStr">
        <is>
          <t>PREMIUM PERFORMANCE</t>
        </is>
      </c>
    </row>
    <row r="4">
      <c r="A4" s="4" t="inlineStr">
        <is>
          <t>Prezzo €/mese</t>
        </is>
      </c>
      <c r="B4" s="5" t="n">
        <v>1490</v>
      </c>
      <c r="C4" s="5" t="n">
        <v>3290</v>
      </c>
      <c r="D4" s="5" t="n">
        <v>5990</v>
      </c>
    </row>
    <row r="5">
      <c r="A5" s="4" t="inlineStr">
        <is>
          <t>Prezzo €/anno (annuale -10/13%)</t>
        </is>
      </c>
      <c r="B5" s="6">
        <f>B4*12*0.87</f>
        <v/>
      </c>
      <c r="C5" s="6">
        <f>C4*12*0.90</f>
        <v/>
      </c>
      <c r="D5" s="6">
        <f>D4*12*0.95</f>
        <v/>
      </c>
    </row>
    <row r="6">
      <c r="A6" s="4" t="inlineStr"/>
      <c r="B6" s="7" t="inlineStr"/>
      <c r="C6" s="7" t="inlineStr"/>
      <c r="D6" s="7" t="inlineStr"/>
    </row>
    <row r="7">
      <c r="A7" s="8" t="inlineStr">
        <is>
          <t>—— INCLUSIONI ——</t>
        </is>
      </c>
      <c r="B7" s="8" t="inlineStr"/>
      <c r="C7" s="8" t="inlineStr"/>
      <c r="D7" s="8" t="inlineStr"/>
    </row>
    <row r="8">
      <c r="A8" s="4" t="inlineStr">
        <is>
          <t>Agenti AI Voice italiani</t>
        </is>
      </c>
      <c r="B8" s="9" t="n">
        <v>1</v>
      </c>
      <c r="C8" s="9" t="n">
        <v>2</v>
      </c>
      <c r="D8" s="7" t="inlineStr">
        <is>
          <t>Custom N+</t>
        </is>
      </c>
    </row>
    <row r="9">
      <c r="A9" s="4" t="inlineStr">
        <is>
          <t>Chiamate outbound/mese (fair use)</t>
        </is>
      </c>
      <c r="B9" s="9" t="n">
        <v>300</v>
      </c>
      <c r="C9" s="9" t="n">
        <v>900</v>
      </c>
      <c r="D9" s="7" t="inlineStr">
        <is>
          <t>8.000-15.000</t>
        </is>
      </c>
    </row>
    <row r="10">
      <c r="A10" s="4" t="inlineStr">
        <is>
          <t>Appuntamenti qualificati/mese target</t>
        </is>
      </c>
      <c r="B10" s="9" t="n">
        <v>10</v>
      </c>
      <c r="C10" s="9" t="n">
        <v>30</v>
      </c>
      <c r="D10" s="9" t="n">
        <v>60</v>
      </c>
    </row>
    <row r="11">
      <c r="A11" s="4" t="inlineStr">
        <is>
          <t>Setter umano dedicato (% tempo)</t>
        </is>
      </c>
      <c r="B11" s="7" t="inlineStr">
        <is>
          <t>10% (supervisor)</t>
        </is>
      </c>
      <c r="C11" s="7" t="inlineStr">
        <is>
          <t>30% (qualifica)</t>
        </is>
      </c>
      <c r="D11" s="7" t="inlineStr">
        <is>
          <t>100% (FT + strategist 25%)</t>
        </is>
      </c>
    </row>
    <row r="12">
      <c r="A12" s="4" t="inlineStr">
        <is>
          <t>Dashboard live</t>
        </is>
      </c>
      <c r="B12" s="7" t="inlineStr">
        <is>
          <t>Self-serve read-only</t>
        </is>
      </c>
      <c r="C12" s="7" t="inlineStr">
        <is>
          <t>Live + accesso team</t>
        </is>
      </c>
      <c r="D12" s="7" t="inlineStr">
        <is>
          <t>Custom branded</t>
        </is>
      </c>
    </row>
    <row r="13">
      <c r="A13" s="4" t="inlineStr">
        <is>
          <t>Integrazione CRM</t>
        </is>
      </c>
      <c r="B13" s="7" t="inlineStr">
        <is>
          <t>Base (GHL/HubSpot)</t>
        </is>
      </c>
      <c r="C13" s="7" t="inlineStr">
        <is>
          <t>Premium (GHL/HS/Pipedrive/SF nativa)</t>
        </is>
      </c>
      <c r="D13" s="7" t="inlineStr">
        <is>
          <t>Custom + webhook + dataflow</t>
        </is>
      </c>
    </row>
    <row r="14">
      <c r="A14" s="4" t="inlineStr">
        <is>
          <t>Reporting</t>
        </is>
      </c>
      <c r="B14" s="7" t="inlineStr">
        <is>
          <t>Mensile PDF email</t>
        </is>
      </c>
      <c r="C14" s="7" t="inlineStr">
        <is>
          <t>Weekly live + QBR mensile</t>
        </is>
      </c>
      <c r="D14" s="7" t="inlineStr">
        <is>
          <t>Weekly + QBR + advisory bimestrale</t>
        </is>
      </c>
    </row>
    <row r="15">
      <c r="A15" s="4" t="inlineStr">
        <is>
          <t>Onboarding (gg)</t>
        </is>
      </c>
      <c r="B15" s="9" t="n">
        <v>14</v>
      </c>
      <c r="C15" s="9" t="n">
        <v>14</v>
      </c>
      <c r="D15" s="9" t="n">
        <v>7</v>
      </c>
    </row>
    <row r="16">
      <c r="A16" s="4" t="inlineStr">
        <is>
          <t>Success manager dedicato</t>
        </is>
      </c>
      <c r="B16" s="7" t="inlineStr">
        <is>
          <t>No (shared)</t>
        </is>
      </c>
      <c r="C16" s="7" t="inlineStr">
        <is>
          <t>Sì</t>
        </is>
      </c>
      <c r="D16" s="7" t="inlineStr">
        <is>
          <t>Sì + head CS</t>
        </is>
      </c>
    </row>
    <row r="17">
      <c r="A17" s="4" t="inlineStr">
        <is>
          <t>Compliance AI Act + GDPR + DPA</t>
        </is>
      </c>
      <c r="B17" s="7" t="inlineStr">
        <is>
          <t>Base</t>
        </is>
      </c>
      <c r="C17" s="7" t="inlineStr">
        <is>
          <t>Full + audit</t>
        </is>
      </c>
      <c r="D17" s="7" t="inlineStr">
        <is>
          <t>Full + recording + audit per cliente regolato</t>
        </is>
      </c>
    </row>
    <row r="18">
      <c r="A18" s="4" t="inlineStr">
        <is>
          <t>Voice cloning</t>
        </is>
      </c>
      <c r="B18" s="7" t="inlineStr">
        <is>
          <t>No</t>
        </is>
      </c>
      <c r="C18" s="7" t="inlineStr">
        <is>
          <t>Add-on (+€500 setup, €100/mese)</t>
        </is>
      </c>
      <c r="D18" s="7" t="inlineStr">
        <is>
          <t>Incluso premium</t>
        </is>
      </c>
    </row>
    <row r="19">
      <c r="A19" s="4" t="inlineStr">
        <is>
          <t>Riattivazione database storico</t>
        </is>
      </c>
      <c r="B19" s="7" t="inlineStr">
        <is>
          <t>No</t>
        </is>
      </c>
      <c r="C19" s="7" t="inlineStr">
        <is>
          <t>No</t>
        </is>
      </c>
      <c r="D19" s="7" t="inlineStr">
        <is>
          <t>Sì (50k-500k lead)</t>
        </is>
      </c>
    </row>
    <row r="20">
      <c r="A20" s="4" t="inlineStr">
        <is>
          <t>Strategy consulting</t>
        </is>
      </c>
      <c r="B20" s="7" t="inlineStr">
        <is>
          <t>No</t>
        </is>
      </c>
      <c r="C20" s="7" t="inlineStr">
        <is>
          <t>No</t>
        </is>
      </c>
      <c r="D20" s="7" t="inlineStr">
        <is>
          <t>Illimitato</t>
        </is>
      </c>
    </row>
    <row r="21">
      <c r="A21" s="4" t="inlineStr">
        <is>
          <t>Garanzia minima performance</t>
        </is>
      </c>
      <c r="B21" s="7" t="inlineStr">
        <is>
          <t>No</t>
        </is>
      </c>
      <c r="C21" s="7" t="inlineStr">
        <is>
          <t>Performance bonus €30/app sopra 30</t>
        </is>
      </c>
      <c r="D21" s="7" t="inlineStr">
        <is>
          <t>15 app/sett o credito proporzionale</t>
        </is>
      </c>
    </row>
    <row r="22">
      <c r="A22" t="inlineStr"/>
      <c r="B22" t="inlineStr"/>
      <c r="C22" t="inlineStr"/>
      <c r="D22" t="inlineStr"/>
    </row>
    <row r="23">
      <c r="A23" s="8" t="inlineStr">
        <is>
          <t>—— ECONOMIA TIER ——</t>
        </is>
      </c>
      <c r="B23" s="8" t="inlineStr"/>
      <c r="C23" s="8" t="inlineStr"/>
      <c r="D23" s="8" t="inlineStr"/>
    </row>
    <row r="24">
      <c r="A24" s="4" t="inlineStr">
        <is>
          <t>Costo all-in mensile (Telesales)</t>
        </is>
      </c>
      <c r="B24" s="5" t="n">
        <v>590</v>
      </c>
      <c r="C24" s="5" t="n">
        <v>1825</v>
      </c>
      <c r="D24" s="5" t="n">
        <v>10000</v>
      </c>
    </row>
    <row r="25">
      <c r="A25" s="4" t="inlineStr">
        <is>
          <t>Gross margin assoluto €/mese</t>
        </is>
      </c>
      <c r="B25" s="6">
        <f>B4-B24</f>
        <v/>
      </c>
      <c r="C25" s="6">
        <f>C4-C24</f>
        <v/>
      </c>
      <c r="D25" s="6">
        <f>D4-D24</f>
        <v/>
      </c>
    </row>
    <row r="26">
      <c r="A26" s="4" t="inlineStr">
        <is>
          <t>Gross margin %</t>
        </is>
      </c>
      <c r="B26" s="10">
        <f>(B4-B24)/B4</f>
        <v/>
      </c>
      <c r="C26" s="10">
        <f>(C4-C24)/C4</f>
        <v/>
      </c>
      <c r="D26" s="10">
        <f>(D4-D24)/D4</f>
        <v/>
      </c>
    </row>
    <row r="27">
      <c r="A27" s="4" t="inlineStr">
        <is>
          <t>CAC blended target (€)</t>
        </is>
      </c>
      <c r="B27" s="5" t="n">
        <v>1500</v>
      </c>
      <c r="C27" s="5" t="n">
        <v>2000</v>
      </c>
      <c r="D27" s="5" t="n">
        <v>3500</v>
      </c>
    </row>
    <row r="28">
      <c r="A28" s="4" t="inlineStr">
        <is>
          <t>CAC payback (mesi)</t>
        </is>
      </c>
      <c r="B28" s="11">
        <f>B27/((B4)*B26)</f>
        <v/>
      </c>
      <c r="C28" s="11">
        <f>C27/((C4)*C26)</f>
        <v/>
      </c>
      <c r="D28" s="11">
        <f>D27/((D4)*D26)</f>
        <v/>
      </c>
    </row>
    <row r="29">
      <c r="A29" s="4" t="inlineStr">
        <is>
          <t>Retention media (mesi)</t>
        </is>
      </c>
      <c r="B29" s="9" t="n">
        <v>14</v>
      </c>
      <c r="C29" s="9" t="n">
        <v>18</v>
      </c>
      <c r="D29" s="9" t="n">
        <v>24</v>
      </c>
    </row>
    <row r="30">
      <c r="A30" s="4" t="inlineStr">
        <is>
          <t>LTV stimato (€)</t>
        </is>
      </c>
      <c r="B30" s="6">
        <f>B4*B26*B29</f>
        <v/>
      </c>
      <c r="C30" s="6">
        <f>C4*C26*C29</f>
        <v/>
      </c>
      <c r="D30" s="6">
        <f>D4*D26*D29</f>
        <v/>
      </c>
    </row>
    <row r="31">
      <c r="A31" s="4" t="inlineStr">
        <is>
          <t>LTV:CAC ratio</t>
        </is>
      </c>
      <c r="B31" s="12">
        <f>B30/B27</f>
        <v/>
      </c>
      <c r="C31" s="12">
        <f>C30/C27</f>
        <v/>
      </c>
      <c r="D31" s="12">
        <f>D30/D27</f>
        <v/>
      </c>
    </row>
    <row r="32">
      <c r="A32" t="inlineStr"/>
      <c r="B32" t="inlineStr"/>
      <c r="C32" t="inlineStr"/>
      <c r="D32" t="inlineStr"/>
    </row>
    <row r="33">
      <c r="A33" s="8" t="inlineStr">
        <is>
          <t>—— PROIEZIONE ARR ——</t>
        </is>
      </c>
      <c r="B33" s="8" t="inlineStr"/>
      <c r="C33" s="8" t="inlineStr"/>
      <c r="D33" s="8" t="inlineStr"/>
    </row>
    <row r="34">
      <c r="A34" s="4" t="inlineStr">
        <is>
          <t>Mix tier target (% clienti)</t>
        </is>
      </c>
      <c r="B34" s="13" t="n">
        <v>0.3</v>
      </c>
      <c r="C34" s="13" t="n">
        <v>0.6</v>
      </c>
      <c r="D34" s="13" t="n">
        <v>0.1</v>
      </c>
    </row>
    <row r="35">
      <c r="A35" s="4" t="inlineStr">
        <is>
          <t>Mix tier target (% revenue)</t>
        </is>
      </c>
      <c r="B35" s="10">
        <f>B34*B5/(B34*B5+C34*C5+D34*D5)</f>
        <v/>
      </c>
      <c r="C35" s="10">
        <f>C34*C5/(B34*B5+C34*C5+D34*D5)</f>
        <v/>
      </c>
      <c r="D35" s="10">
        <f>D34*D5/(B34*B5+C34*C5+D34*D5)</f>
        <v/>
      </c>
    </row>
    <row r="36">
      <c r="A36" s="4" t="inlineStr">
        <is>
          <t>Clienti target Q4 2026</t>
        </is>
      </c>
      <c r="B36" s="11">
        <f>24*B34</f>
        <v/>
      </c>
      <c r="C36" s="11">
        <f>24*C34</f>
        <v/>
      </c>
      <c r="D36" s="11">
        <f>24*D34</f>
        <v/>
      </c>
    </row>
    <row r="37">
      <c r="A37" s="4" t="inlineStr">
        <is>
          <t>ARR Q4 2026 (€)</t>
        </is>
      </c>
      <c r="B37" s="6">
        <f>B36*B5</f>
        <v/>
      </c>
      <c r="C37" s="6">
        <f>C36*C5</f>
        <v/>
      </c>
      <c r="D37" s="6">
        <f>D36*D5</f>
        <v/>
      </c>
    </row>
    <row r="38">
      <c r="A38" s="4" t="inlineStr">
        <is>
          <t>ARR Q4 2026 TOTALE (€)</t>
        </is>
      </c>
      <c r="B38" s="6">
        <f>SUM(B37:D37)</f>
        <v/>
      </c>
      <c r="C38" s="7" t="inlineStr"/>
      <c r="D38" s="7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PRICING NOTE METODOLOGICHE</t>
        </is>
      </c>
    </row>
    <row r="2">
      <c r="A2" t="inlineStr"/>
    </row>
    <row r="3">
      <c r="A3" t="inlineStr">
        <is>
          <t>1. Prezzi base sono input (blu) modificabili nelle celle B4, C4, D4.</t>
        </is>
      </c>
    </row>
    <row r="4">
      <c r="A4" t="inlineStr">
        <is>
          <t>2. Costi all-in sono input (blu) — vedi breakdown in 06_pricing_strategy.md sezione 2.</t>
        </is>
      </c>
    </row>
    <row r="5">
      <c r="A5" t="inlineStr">
        <is>
          <t>3. CAC blended target è input giallo — assumption chiave.</t>
        </is>
      </c>
    </row>
    <row r="6">
      <c r="A6" t="inlineStr">
        <is>
          <t>4. Mix tier (% clienti) è input giallo — adjustment scenario.</t>
        </is>
      </c>
    </row>
    <row r="7">
      <c r="A7" t="inlineStr">
        <is>
          <t>5. Tutte le formule sono nere (=...). Cambia gli input blu per simulare scenari.</t>
        </is>
      </c>
    </row>
    <row r="8">
      <c r="A8" t="inlineStr"/>
    </row>
    <row r="9">
      <c r="A9" s="2" t="inlineStr">
        <is>
          <t>FONTI PRICING BENCHMARK:</t>
        </is>
      </c>
    </row>
    <row r="10">
      <c r="A10" t="inlineStr">
        <is>
          <t>• TeleLead.it — Listino pubblico boutique IT: https://telelead.it/appuntamenti-b2b/</t>
        </is>
      </c>
    </row>
    <row r="11">
      <c r="A11" t="inlineStr">
        <is>
          <t>• Ippogrifo Group — Quanto costa un appuntamento B2B: https://www.ippogrifogroup.com/marketingevenditeb2b/quanto-costa-un-appuntamento-nel-b2b-numeri/</t>
        </is>
      </c>
    </row>
    <row r="12">
      <c r="A12" t="inlineStr">
        <is>
          <t>• Leads at Scale — B2B Pricing Guide 2025: https://leadsatscale.com/insights/b2b-appointment-setting-pricing-guide-complete-2025-breakdown/</t>
        </is>
      </c>
    </row>
    <row r="13">
      <c r="A13" t="inlineStr">
        <is>
          <t>• Growth Spree — LTV:CAC Benchmarks 2026: https://www.growthspreeofficial.com/blogs/ltv-cac-ratio-b2b-saas-benchmarks-2026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2026-05-16T14:28:16Z</dcterms:created>
  <dcterms:modified xmlns:dcterms="http://purl.org/dc/terms/" xmlns:xsi="http://www.w3.org/2001/XMLSchema-instance" xsi:type="dcterms:W3CDTF">2026-05-16T14:28:16Z</dcterms:modified>
</cp:coreProperties>
</file>