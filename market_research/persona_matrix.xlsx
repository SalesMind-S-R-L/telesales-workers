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 Matrix" sheetId="1" state="visible" r:id="rId1"/>
    <sheet xmlns:r="http://schemas.openxmlformats.org/officeDocument/2006/relationships" name="Prioritiz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4E79"/>
      <sz val="14"/>
    </font>
    <font>
      <name val="Arial"/>
      <color rgb="00008000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28" customWidth="1" min="3" max="3"/>
    <col width="10" customWidth="1" min="4" max="4"/>
    <col width="16" customWidth="1" min="5" max="5"/>
    <col width="22" customWidth="1" min="6" max="6"/>
    <col width="14" customWidth="1" min="7" max="7"/>
    <col width="18" customWidth="1" min="8" max="8"/>
    <col width="36" customWidth="1" min="9" max="9"/>
    <col width="36" customWidth="1" min="10" max="10"/>
    <col width="36" customWidth="1" min="11" max="11"/>
    <col width="50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2" customWidth="1" min="18" max="18"/>
  </cols>
  <sheetData>
    <row r="1" ht="30" customHeight="1">
      <c r="A1" s="1" t="inlineStr">
        <is>
          <t>#</t>
        </is>
      </c>
      <c r="B1" s="1" t="inlineStr">
        <is>
          <t>Persona</t>
        </is>
      </c>
      <c r="C1" s="1" t="inlineStr">
        <is>
          <t>Target settore</t>
        </is>
      </c>
      <c r="D1" s="1" t="inlineStr">
        <is>
          <t>Età</t>
        </is>
      </c>
      <c r="E1" s="1" t="inlineStr">
        <is>
          <t>Fatturato cliente</t>
        </is>
      </c>
      <c r="F1" s="1" t="inlineStr">
        <is>
          <t>ICP location</t>
        </is>
      </c>
      <c r="G1" s="1" t="inlineStr">
        <is>
          <t>Universo IT</t>
        </is>
      </c>
      <c r="H1" s="1" t="inlineStr">
        <is>
          <t>ARPU annuo (€)</t>
        </is>
      </c>
      <c r="I1" s="1" t="inlineStr">
        <is>
          <t>Top pain point #1</t>
        </is>
      </c>
      <c r="J1" s="1" t="inlineStr">
        <is>
          <t>Top pain point #2</t>
        </is>
      </c>
      <c r="K1" s="1" t="inlineStr">
        <is>
          <t>Top pain point #3</t>
        </is>
      </c>
      <c r="L1" s="1" t="inlineStr">
        <is>
          <t>Hook email subject</t>
        </is>
      </c>
      <c r="M1" s="1" t="inlineStr">
        <is>
          <t>Score Size (1-5)</t>
        </is>
      </c>
      <c r="N1" s="1" t="inlineStr">
        <is>
          <t>Score Accessibility (1-5)</t>
        </is>
      </c>
      <c r="O1" s="1" t="inlineStr">
        <is>
          <t>Score WTP (1-5)</t>
        </is>
      </c>
      <c r="P1" s="1" t="inlineStr">
        <is>
          <t>Score Strategic fit (1-5)</t>
        </is>
      </c>
      <c r="Q1" s="1" t="inlineStr">
        <is>
          <t>Score TOTAL</t>
        </is>
      </c>
      <c r="R1" s="1" t="inlineStr">
        <is>
          <t>Priority rank</t>
        </is>
      </c>
    </row>
    <row r="2">
      <c r="A2" s="2" t="n">
        <v>1</v>
      </c>
      <c r="B2" s="2" t="inlineStr">
        <is>
          <t>Imprenditrice Agenzia (Adriana/Claudia)</t>
        </is>
      </c>
      <c r="C2" s="2" t="inlineStr">
        <is>
          <t>Agenzie marketing/consulting</t>
        </is>
      </c>
      <c r="D2" s="2" t="inlineStr">
        <is>
          <t>38-55</t>
        </is>
      </c>
      <c r="E2" s="2" t="inlineStr">
        <is>
          <t>€200k-1M</t>
        </is>
      </c>
      <c r="F2" s="2" t="inlineStr">
        <is>
          <t>Milano/Roma/Torino/BO/PD</t>
        </is>
      </c>
      <c r="G2" s="3" t="n">
        <v>5000</v>
      </c>
      <c r="H2" s="4" t="n">
        <v>27000</v>
      </c>
      <c r="I2" s="2" t="inlineStr">
        <is>
          <t>Vende+opera+gestisce, no deleghe</t>
        </is>
      </c>
      <c r="J2" s="2" t="inlineStr">
        <is>
          <t>Pipeline irregolare 2 mesi pieni 2 vuoti</t>
        </is>
      </c>
      <c r="K2" s="2" t="inlineStr">
        <is>
          <t>Setter junior interno fallito 6 mesi €30k</t>
        </is>
      </c>
      <c r="L2" s="2" t="inlineStr">
        <is>
          <t>3 modi in cui [agenzia] potrebbe avere pipeline a luglio (senza farti vendere tu)</t>
        </is>
      </c>
      <c r="M2" s="2" t="n">
        <v>4</v>
      </c>
      <c r="N2" s="2" t="n">
        <v>4</v>
      </c>
      <c r="O2" s="2" t="n">
        <v>3</v>
      </c>
      <c r="P2" s="2" t="n">
        <v>4</v>
      </c>
      <c r="Q2" s="5">
        <f>SUM(M2:P2)</f>
        <v/>
      </c>
      <c r="R2" s="2" t="n">
        <v>2</v>
      </c>
    </row>
    <row r="3">
      <c r="A3" s="2" t="n">
        <v>2</v>
      </c>
      <c r="B3" s="2" t="inlineStr">
        <is>
          <t>Founder Scale-up B2B (Filippo/Edoardo)</t>
        </is>
      </c>
      <c r="C3" s="2" t="inlineStr">
        <is>
          <t>SaaS B2B / Servizi mid</t>
        </is>
      </c>
      <c r="D3" s="2" t="inlineStr">
        <is>
          <t>30-45</t>
        </is>
      </c>
      <c r="E3" s="2" t="inlineStr">
        <is>
          <t>€500k-3M</t>
        </is>
      </c>
      <c r="F3" s="2" t="inlineStr">
        <is>
          <t>Milano/Roma/hub tech</t>
        </is>
      </c>
      <c r="G3" s="3" t="n">
        <v>3000</v>
      </c>
      <c r="H3" s="4" t="n">
        <v>54000</v>
      </c>
      <c r="I3" s="2" t="inlineStr">
        <is>
          <t>Pipeline coverage &lt;3x, board pressing</t>
        </is>
      </c>
      <c r="J3" s="2" t="inlineStr">
        <is>
          <t>SDR team interno turnover + onboarding lungo</t>
        </is>
      </c>
      <c r="K3" s="2" t="inlineStr">
        <is>
          <t>Sales cycle 4-9 mesi, pipeline costante</t>
        </is>
      </c>
      <c r="L3" s="2" t="inlineStr">
        <is>
          <t>Quanto vi costa un appuntamento qualificato — benchmark 2026 per [SaaS B2B]</t>
        </is>
      </c>
      <c r="M3" s="2" t="n">
        <v>3</v>
      </c>
      <c r="N3" s="2" t="n">
        <v>3</v>
      </c>
      <c r="O3" s="2" t="n">
        <v>4</v>
      </c>
      <c r="P3" s="2" t="n">
        <v>4</v>
      </c>
      <c r="Q3" s="5">
        <f>SUM(M3:P3)</f>
        <v/>
      </c>
      <c r="R3" s="2" t="n">
        <v>3</v>
      </c>
    </row>
    <row r="4">
      <c r="A4" s="2" t="n">
        <v>3</v>
      </c>
      <c r="B4" s="2" t="inlineStr">
        <is>
          <t>Infomarketer / Coach (Mik type)</t>
        </is>
      </c>
      <c r="C4" s="2" t="inlineStr">
        <is>
          <t>Infobusiness/coaching/corsi online</t>
        </is>
      </c>
      <c r="D4" s="2" t="inlineStr">
        <is>
          <t>30-50</t>
        </is>
      </c>
      <c r="E4" s="2" t="inlineStr">
        <is>
          <t>€500k-10M</t>
        </is>
      </c>
      <c r="F4" s="2" t="inlineStr">
        <is>
          <t>Italia digital hub</t>
        </is>
      </c>
      <c r="G4" s="3" t="n">
        <v>400</v>
      </c>
      <c r="H4" s="4" t="n">
        <v>130000</v>
      </c>
      <c r="I4" s="2" t="inlineStr">
        <is>
          <t>Database lead enorme non convertito (soldi sul tavolo)</t>
        </is>
      </c>
      <c r="J4" s="2" t="inlineStr">
        <is>
          <t>CAC Meta in salita; webinar funnel saturo</t>
        </is>
      </c>
      <c r="K4" s="2" t="inlineStr">
        <is>
          <t>Setter team interno turnover + brand drift</t>
        </is>
      </c>
      <c r="L4" s="2" t="inlineStr">
        <is>
          <t>Mik Cosentino sta riattivando 80.000 lead dormienti con AI italiana. Test su 1.000 dei tuoi?</t>
        </is>
      </c>
      <c r="M4" s="2" t="n">
        <v>2</v>
      </c>
      <c r="N4" s="2" t="n">
        <v>3</v>
      </c>
      <c r="O4" s="2" t="n">
        <v>5</v>
      </c>
      <c r="P4" s="2" t="n">
        <v>5</v>
      </c>
      <c r="Q4" s="5">
        <f>SUM(M4:P4)</f>
        <v/>
      </c>
      <c r="R4" s="2" t="n">
        <v>1</v>
      </c>
    </row>
    <row r="5">
      <c r="A5" s="2" t="n">
        <v>4</v>
      </c>
      <c r="B5" s="2" t="inlineStr">
        <is>
          <t>Direttore Commerciale PMI manifatturiera</t>
        </is>
      </c>
      <c r="C5" s="2" t="inlineStr">
        <is>
          <t>Manifatturiero/distribuzione PMI</t>
        </is>
      </c>
      <c r="D5" s="2" t="inlineStr">
        <is>
          <t>45-60</t>
        </is>
      </c>
      <c r="E5" s="2" t="inlineStr">
        <is>
          <t>€5-50M</t>
        </is>
      </c>
      <c r="F5" s="2" t="inlineStr">
        <is>
          <t>Veneto/Lombardia/Emilia/Marche</t>
        </is>
      </c>
      <c r="G5" s="3" t="n">
        <v>10000</v>
      </c>
      <c r="H5" s="4" t="n">
        <v>45000</v>
      </c>
      <c r="I5" s="2" t="inlineStr">
        <is>
          <t>Agenti commerciali esterni mal-alimentati</t>
        </is>
      </c>
      <c r="J5" s="2" t="inlineStr">
        <is>
          <t>Acquisizione clienti rallentata post-Covid</t>
        </is>
      </c>
      <c r="K5" s="2" t="inlineStr">
        <is>
          <t>Setter junior interno costo €30-40k + churn</t>
        </is>
      </c>
      <c r="L5" s="2" t="inlineStr">
        <is>
          <t>Come 4 PMI metalmeccaniche stanno alimentando i loro agenti con 80 appuntamenti qualificati/mese</t>
        </is>
      </c>
      <c r="M5" s="2" t="n">
        <v>5</v>
      </c>
      <c r="N5" s="2" t="n">
        <v>2</v>
      </c>
      <c r="O5" s="2" t="n">
        <v>3</v>
      </c>
      <c r="P5" s="2" t="n">
        <v>3</v>
      </c>
      <c r="Q5" s="5">
        <f>SUM(M5:P5)</f>
        <v/>
      </c>
      <c r="R5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14" customWidth="1" min="4" max="4"/>
    <col width="16" customWidth="1" min="5" max="5"/>
  </cols>
  <sheetData>
    <row r="1">
      <c r="A1" s="6" t="inlineStr">
        <is>
          <t>Telesales Persona Prioritization Matrix</t>
        </is>
      </c>
    </row>
    <row r="3" ht="30" customHeight="1">
      <c r="A3" s="1" t="inlineStr">
        <is>
          <t>Persona</t>
        </is>
      </c>
      <c r="B3" s="1" t="inlineStr">
        <is>
          <t>Score totale</t>
        </is>
      </c>
      <c r="C3" s="1" t="inlineStr">
        <is>
          <t>ARPU annuo</t>
        </is>
      </c>
      <c r="D3" s="1" t="inlineStr">
        <is>
          <t>Universo IT</t>
        </is>
      </c>
      <c r="E3" s="1" t="inlineStr">
        <is>
          <t>Priority rank</t>
        </is>
      </c>
    </row>
    <row r="4">
      <c r="A4" s="7">
        <f>'Persona Matrix'!B2</f>
        <v/>
      </c>
      <c r="B4" s="7">
        <f>'Persona Matrix'!Q2</f>
        <v/>
      </c>
      <c r="C4" s="8">
        <f>'Persona Matrix'!H2</f>
        <v/>
      </c>
      <c r="D4" s="9">
        <f>'Persona Matrix'!G2</f>
        <v/>
      </c>
      <c r="E4" s="10">
        <f>'Persona Matrix'!R2</f>
        <v/>
      </c>
    </row>
    <row r="5">
      <c r="A5" s="7">
        <f>'Persona Matrix'!B3</f>
        <v/>
      </c>
      <c r="B5" s="7">
        <f>'Persona Matrix'!Q3</f>
        <v/>
      </c>
      <c r="C5" s="8">
        <f>'Persona Matrix'!H3</f>
        <v/>
      </c>
      <c r="D5" s="9">
        <f>'Persona Matrix'!G3</f>
        <v/>
      </c>
      <c r="E5" s="10">
        <f>'Persona Matrix'!R3</f>
        <v/>
      </c>
    </row>
    <row r="6">
      <c r="A6" s="7">
        <f>'Persona Matrix'!B4</f>
        <v/>
      </c>
      <c r="B6" s="7">
        <f>'Persona Matrix'!Q4</f>
        <v/>
      </c>
      <c r="C6" s="8">
        <f>'Persona Matrix'!H4</f>
        <v/>
      </c>
      <c r="D6" s="9">
        <f>'Persona Matrix'!G4</f>
        <v/>
      </c>
      <c r="E6" s="10">
        <f>'Persona Matrix'!R4</f>
        <v/>
      </c>
    </row>
    <row r="7">
      <c r="A7" s="7">
        <f>'Persona Matrix'!B5</f>
        <v/>
      </c>
      <c r="B7" s="7">
        <f>'Persona Matrix'!Q5</f>
        <v/>
      </c>
      <c r="C7" s="8">
        <f>'Persona Matrix'!H5</f>
        <v/>
      </c>
      <c r="D7" s="9">
        <f>'Persona Matrix'!G5</f>
        <v/>
      </c>
      <c r="E7" s="10">
        <f>'Persona Matrix'!R5</f>
        <v/>
      </c>
    </row>
    <row r="9">
      <c r="A9" s="11" t="inlineStr">
        <is>
          <t>Note: cross-link a Persona Matrix. Score = Size + Accessibility + WTP + Strategic Fit (max 20).</t>
        </is>
      </c>
    </row>
  </sheetData>
  <mergeCells count="2"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2026-05-16T14:28:16Z</dcterms:created>
  <dcterms:modified xmlns:dcterms="http://purl.org/dc/terms/" xmlns:xsi="http://www.w3.org/2001/XMLSchema-instance" xsi:type="dcterms:W3CDTF">2026-05-16T14:28:16Z</dcterms:modified>
</cp:coreProperties>
</file>