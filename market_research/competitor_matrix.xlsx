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3FFB3"/>
      </patternFill>
    </fill>
    <fill>
      <patternFill patternType="solid">
        <fgColor rgb="00FFFF66"/>
      </patternFill>
    </fill>
    <fill>
      <patternFill patternType="solid">
        <fgColor rgb="00FF6666"/>
      </patternFill>
    </fill>
    <fill>
      <patternFill patternType="solid">
        <fgColor rgb="00B3E0FF"/>
      </patternFill>
    </fill>
    <fill>
      <patternFill patternType="solid">
        <fgColor rgb="00FFB26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16" customWidth="1" min="4" max="4"/>
    <col width="18" customWidth="1" min="5" max="5"/>
    <col width="22" customWidth="1" min="6" max="6"/>
    <col width="24" customWidth="1" min="7" max="7"/>
    <col width="30" customWidth="1" min="8" max="8"/>
    <col width="30" customWidth="1" min="9" max="9"/>
    <col width="22" customWidth="1" min="10" max="10"/>
    <col width="14" customWidth="1" min="11" max="11"/>
    <col width="12" customWidth="1" min="12" max="12"/>
    <col width="26" customWidth="1" min="13" max="13"/>
    <col width="14" customWidth="1" min="14" max="14"/>
    <col width="30" customWidth="1" min="15" max="15"/>
  </cols>
  <sheetData>
    <row r="1" ht="30" customHeight="1">
      <c r="A1" s="1" t="inlineStr">
        <is>
          <t>#</t>
        </is>
      </c>
      <c r="B1" s="1" t="inlineStr">
        <is>
          <t>Cluster</t>
        </is>
      </c>
      <c r="C1" s="1" t="inlineStr">
        <is>
          <t>Competitor</t>
        </is>
      </c>
      <c r="D1" s="1" t="inlineStr">
        <is>
          <t>Sede</t>
        </is>
      </c>
      <c r="E1" s="1" t="inlineStr">
        <is>
          <t>Tier</t>
        </is>
      </c>
      <c r="F1" s="1" t="inlineStr">
        <is>
          <t>Fatturato/Funding</t>
        </is>
      </c>
      <c r="G1" s="1" t="inlineStr">
        <is>
          <t>Target</t>
        </is>
      </c>
      <c r="H1" s="1" t="inlineStr">
        <is>
          <t>USP</t>
        </is>
      </c>
      <c r="I1" s="1" t="inlineStr">
        <is>
          <t>Debolezze</t>
        </is>
      </c>
      <c r="J1" s="1" t="inlineStr">
        <is>
          <t>Pricing indicativo</t>
        </is>
      </c>
      <c r="K1" s="1" t="inlineStr">
        <is>
          <t>AI Voice?</t>
        </is>
      </c>
      <c r="L1" s="1" t="inlineStr">
        <is>
          <t>Italiano?</t>
        </is>
      </c>
      <c r="M1" s="1" t="inlineStr">
        <is>
          <t>Mossa recente</t>
        </is>
      </c>
      <c r="N1" s="1" t="inlineStr">
        <is>
          <t>Threat rating</t>
        </is>
      </c>
      <c r="O1" s="1" t="inlineStr">
        <is>
          <t>Razionale threat</t>
        </is>
      </c>
    </row>
    <row r="2">
      <c r="A2" s="2" t="n">
        <v>1</v>
      </c>
      <c r="B2" s="2" t="inlineStr">
        <is>
          <t>A — BPO enterprise IT</t>
        </is>
      </c>
      <c r="C2" s="2" t="inlineStr">
        <is>
          <t>Konecta Italia (ex Comdata)</t>
        </is>
      </c>
      <c r="D2" s="2" t="inlineStr">
        <is>
          <t>Corsico (MI)</t>
        </is>
      </c>
      <c r="E2" s="2" t="inlineStr">
        <is>
          <t>Enterprise</t>
        </is>
      </c>
      <c r="F2" s="2" t="inlineStr">
        <is>
          <t>€360M (2024)</t>
        </is>
      </c>
      <c r="G2" s="2" t="inlineStr">
        <is>
          <t>Enterprise telco/utility B2C</t>
        </is>
      </c>
      <c r="H2" s="2" t="inlineStr">
        <is>
          <t>Scala + brand storico</t>
        </is>
      </c>
      <c r="I2" s="2" t="inlineStr">
        <is>
          <t>Pesante, tariffe basse, marginalità</t>
        </is>
      </c>
      <c r="J2" s="2" t="inlineStr">
        <is>
          <t>n/d enterprise</t>
        </is>
      </c>
      <c r="K2" s="2" t="inlineStr">
        <is>
          <t>Marginale</t>
        </is>
      </c>
      <c r="L2" s="2" t="inlineStr">
        <is>
          <t>Sì</t>
        </is>
      </c>
      <c r="M2" s="2" t="inlineStr">
        <is>
          <t>Brand Comdata assorbito 1/2/2024; 600 esuberi</t>
        </is>
      </c>
      <c r="N2" s="3" t="inlineStr">
        <is>
          <t>L</t>
        </is>
      </c>
      <c r="O2" s="2" t="inlineStr">
        <is>
          <t>No overlap target PMI</t>
        </is>
      </c>
    </row>
    <row r="3">
      <c r="A3" s="2" t="n">
        <v>2</v>
      </c>
      <c r="B3" s="2" t="inlineStr">
        <is>
          <t>A — BPO enterprise IT</t>
        </is>
      </c>
      <c r="C3" s="2" t="inlineStr">
        <is>
          <t>Almaviva Group</t>
        </is>
      </c>
      <c r="D3" s="2" t="inlineStr">
        <is>
          <t>Roma</t>
        </is>
      </c>
      <c r="E3" s="2" t="inlineStr">
        <is>
          <t>Enterprise</t>
        </is>
      </c>
      <c r="F3" s="2" t="inlineStr">
        <is>
          <t>€1,8 mld (gruppo)</t>
        </is>
      </c>
      <c r="G3" s="2" t="inlineStr">
        <is>
          <t>PA + enterprise B2C</t>
        </is>
      </c>
      <c r="H3" s="2" t="inlineStr">
        <is>
          <t>IT services + Contact integrato</t>
        </is>
      </c>
      <c r="I3" s="2" t="inlineStr">
        <is>
          <t>492 esuberi 2024, CIGS</t>
        </is>
      </c>
      <c r="J3" s="2" t="inlineStr">
        <is>
          <t>n/d enterprise</t>
        </is>
      </c>
      <c r="K3" s="2" t="inlineStr">
        <is>
          <t>Marginale</t>
        </is>
      </c>
      <c r="L3" s="2" t="inlineStr">
        <is>
          <t>Sì</t>
        </is>
      </c>
      <c r="M3" s="2" t="inlineStr">
        <is>
          <t>Procedura esuberi 2024</t>
        </is>
      </c>
      <c r="N3" s="3" t="inlineStr">
        <is>
          <t>L</t>
        </is>
      </c>
      <c r="O3" s="2" t="inlineStr">
        <is>
          <t>Focus PA, no PMI</t>
        </is>
      </c>
    </row>
    <row r="4">
      <c r="A4" s="2" t="n">
        <v>3</v>
      </c>
      <c r="B4" s="2" t="inlineStr">
        <is>
          <t>A — BPO enterprise IT</t>
        </is>
      </c>
      <c r="C4" s="2" t="inlineStr">
        <is>
          <t>Covisian SpA</t>
        </is>
      </c>
      <c r="D4" s="2" t="inlineStr">
        <is>
          <t>Milano</t>
        </is>
      </c>
      <c r="E4" s="2" t="inlineStr">
        <is>
          <t>Enterprise</t>
        </is>
      </c>
      <c r="F4" s="2" t="inlineStr">
        <is>
          <t>€143M IT (2024)</t>
        </is>
      </c>
      <c r="G4" s="2" t="inlineStr">
        <is>
          <t>CX enterprise omnicanale</t>
        </is>
      </c>
      <c r="H4" s="2" t="inlineStr">
        <is>
          <t>Spinta AI/metaverso</t>
        </is>
      </c>
      <c r="I4" s="2" t="inlineStr">
        <is>
          <t>Lento su SMB</t>
        </is>
      </c>
      <c r="J4" s="2" t="inlineStr">
        <is>
          <t>n/d enterprise</t>
        </is>
      </c>
      <c r="K4" s="2" t="inlineStr">
        <is>
          <t>In sviluppo (inbound)</t>
        </is>
      </c>
      <c r="L4" s="2" t="inlineStr">
        <is>
          <t>Sì</t>
        </is>
      </c>
      <c r="M4" s="2" t="inlineStr">
        <is>
          <t>Spinta AI 25° anniversario</t>
        </is>
      </c>
      <c r="N4" s="4" t="inlineStr">
        <is>
          <t>M</t>
        </is>
      </c>
      <c r="O4" s="2" t="inlineStr">
        <is>
          <t>Sta entrando in AI</t>
        </is>
      </c>
    </row>
    <row r="5">
      <c r="A5" s="2" t="n">
        <v>4</v>
      </c>
      <c r="B5" s="2" t="inlineStr">
        <is>
          <t>A — BPO enterprise IT</t>
        </is>
      </c>
      <c r="C5" s="2" t="inlineStr">
        <is>
          <t>Teleperformance Italia</t>
        </is>
      </c>
      <c r="D5" s="2" t="inlineStr">
        <is>
          <t>Roma/Taranto</t>
        </is>
      </c>
      <c r="E5" s="2" t="inlineStr">
        <is>
          <t>Enterprise</t>
        </is>
      </c>
      <c r="F5" s="2" t="inlineStr">
        <is>
          <t>n/d</t>
        </is>
      </c>
      <c r="G5" s="2" t="inlineStr">
        <is>
          <t>BPO B2C multicliente</t>
        </is>
      </c>
      <c r="H5" s="2" t="inlineStr">
        <is>
          <t>Globale</t>
        </is>
      </c>
      <c r="I5" s="2" t="inlineStr">
        <is>
          <t>Perdita 2024 TP Infinity</t>
        </is>
      </c>
      <c r="J5" s="2" t="inlineStr">
        <is>
          <t>n/d</t>
        </is>
      </c>
      <c r="K5" s="2" t="inlineStr">
        <is>
          <t>Marginale</t>
        </is>
      </c>
      <c r="L5" s="2" t="inlineStr">
        <is>
          <t>Sì</t>
        </is>
      </c>
      <c r="M5" s="2" t="inlineStr">
        <is>
          <t>Best Workplace 2024 ma perdita</t>
        </is>
      </c>
      <c r="N5" s="3" t="inlineStr">
        <is>
          <t>L</t>
        </is>
      </c>
      <c r="O5" s="2" t="inlineStr">
        <is>
          <t>Focus enterprise</t>
        </is>
      </c>
    </row>
    <row r="6">
      <c r="A6" s="2" t="n">
        <v>5</v>
      </c>
      <c r="B6" s="2" t="inlineStr">
        <is>
          <t>A — BPO enterprise IT</t>
        </is>
      </c>
      <c r="C6" s="2" t="inlineStr">
        <is>
          <t>Activa Group / Network Contacts</t>
        </is>
      </c>
      <c r="D6" s="2" t="inlineStr">
        <is>
          <t>Molfetta (BA)</t>
        </is>
      </c>
      <c r="E6" s="2" t="inlineStr">
        <is>
          <t>Mid</t>
        </is>
      </c>
      <c r="F6" s="2" t="inlineStr">
        <is>
          <t>€100M+ gruppo</t>
        </is>
      </c>
      <c r="G6" s="2" t="inlineStr">
        <is>
          <t>BPO mid-enterprise</t>
        </is>
      </c>
      <c r="H6" s="2" t="inlineStr">
        <is>
          <t>Hub Romania</t>
        </is>
      </c>
      <c r="I6" s="2" t="inlineStr">
        <is>
          <t>304 licenziamenti 2024</t>
        </is>
      </c>
      <c r="J6" s="2" t="inlineStr">
        <is>
          <t>n/d</t>
        </is>
      </c>
      <c r="K6" s="2" t="inlineStr">
        <is>
          <t>No</t>
        </is>
      </c>
      <c r="L6" s="2" t="inlineStr">
        <is>
          <t>Sì</t>
        </is>
      </c>
      <c r="M6" s="2" t="inlineStr">
        <is>
          <t>Layoff 2024</t>
        </is>
      </c>
      <c r="N6" s="3" t="inlineStr">
        <is>
          <t>L</t>
        </is>
      </c>
      <c r="O6" s="2" t="inlineStr">
        <is>
          <t>Mid-market, no overlap</t>
        </is>
      </c>
    </row>
    <row r="7">
      <c r="A7" s="2" t="n">
        <v>6</v>
      </c>
      <c r="B7" s="2" t="inlineStr">
        <is>
          <t>B — Boutique B2B IT</t>
        </is>
      </c>
      <c r="C7" s="2" t="inlineStr">
        <is>
          <t>L'Ippogrifo Group</t>
        </is>
      </c>
      <c r="D7" s="2" t="inlineStr">
        <is>
          <t>Trieste/Milano</t>
        </is>
      </c>
      <c r="E7" s="2" t="inlineStr">
        <is>
          <t>Boutique</t>
        </is>
      </c>
      <c r="F7" s="2" t="inlineStr">
        <is>
          <t>&gt;40 prof. interni; ISO 9001</t>
        </is>
      </c>
      <c r="G7" s="2" t="inlineStr">
        <is>
          <t>PMI B2B sales+marketing</t>
        </is>
      </c>
      <c r="H7" s="2" t="inlineStr">
        <is>
          <t>Marketing&amp;Sales Suite proprietaria, 30 anni storia</t>
        </is>
      </c>
      <c r="I7" s="2" t="inlineStr">
        <is>
          <t>Approccio tradizionale, no AI</t>
        </is>
      </c>
      <c r="J7" s="2" t="inlineStr">
        <is>
          <t>Retainer €2-8k/mese</t>
        </is>
      </c>
      <c r="K7" s="2" t="inlineStr">
        <is>
          <t>No</t>
        </is>
      </c>
      <c r="L7" s="2" t="inlineStr">
        <is>
          <t>Sì</t>
        </is>
      </c>
      <c r="M7" s="2" t="inlineStr">
        <is>
          <t>Divisione formazione B2Big</t>
        </is>
      </c>
      <c r="N7" s="5" t="inlineStr">
        <is>
          <t>H</t>
        </is>
      </c>
      <c r="O7" s="2" t="inlineStr">
        <is>
          <t>Vero competitor diretto leader</t>
        </is>
      </c>
    </row>
    <row r="8">
      <c r="A8" s="2" t="n">
        <v>7</v>
      </c>
      <c r="B8" s="2" t="inlineStr">
        <is>
          <t>B — Boutique B2B IT</t>
        </is>
      </c>
      <c r="C8" s="2" t="inlineStr">
        <is>
          <t>TeleLead.it</t>
        </is>
      </c>
      <c r="D8" s="2" t="inlineStr">
        <is>
          <t>n/d</t>
        </is>
      </c>
      <c r="E8" s="2" t="inlineStr">
        <is>
          <t>Boutique</t>
        </is>
      </c>
      <c r="F8" s="2" t="inlineStr">
        <is>
          <t>n/d</t>
        </is>
      </c>
      <c r="G8" s="2" t="inlineStr">
        <is>
          <t>PMI B2B pay-per-appointment</t>
        </is>
      </c>
      <c r="H8" s="2" t="inlineStr">
        <is>
          <t>Pricing trasparente pubblico</t>
        </is>
      </c>
      <c r="I8" s="2" t="inlineStr">
        <is>
          <t>Brand limitato, no AI</t>
        </is>
      </c>
      <c r="J8" s="2" t="inlineStr">
        <is>
          <t>€20-35/appuntamento</t>
        </is>
      </c>
      <c r="K8" s="2" t="inlineStr">
        <is>
          <t>No</t>
        </is>
      </c>
      <c r="L8" s="2" t="inlineStr">
        <is>
          <t>Sì</t>
        </is>
      </c>
      <c r="M8" s="2" t="inlineStr">
        <is>
          <t>Listino pubblico</t>
        </is>
      </c>
      <c r="N8" s="4" t="inlineStr">
        <is>
          <t>M</t>
        </is>
      </c>
      <c r="O8" s="2" t="inlineStr">
        <is>
          <t>Compete su pricing</t>
        </is>
      </c>
    </row>
    <row r="9">
      <c r="A9" s="2" t="n">
        <v>8</v>
      </c>
      <c r="B9" s="2" t="inlineStr">
        <is>
          <t>B — Boutique B2B IT</t>
        </is>
      </c>
      <c r="C9" s="2" t="inlineStr">
        <is>
          <t>Telemarketingb2b.it</t>
        </is>
      </c>
      <c r="D9" s="2" t="inlineStr">
        <is>
          <t>n/d</t>
        </is>
      </c>
      <c r="E9" s="2" t="inlineStr">
        <is>
          <t>Boutique</t>
        </is>
      </c>
      <c r="F9" s="2" t="inlineStr">
        <is>
          <t>n/d</t>
        </is>
      </c>
      <c r="G9" s="2" t="inlineStr">
        <is>
          <t>PMI B2B</t>
        </is>
      </c>
      <c r="H9" s="2" t="inlineStr">
        <is>
          <t>Operatori italiani</t>
        </is>
      </c>
      <c r="I9" s="2" t="inlineStr">
        <is>
          <t>No AI, generalista</t>
        </is>
      </c>
      <c r="J9" s="2" t="inlineStr">
        <is>
          <t>€750+IVA/1000 chiamate</t>
        </is>
      </c>
      <c r="K9" s="2" t="inlineStr">
        <is>
          <t>No</t>
        </is>
      </c>
      <c r="L9" s="2" t="inlineStr">
        <is>
          <t>Sì</t>
        </is>
      </c>
      <c r="M9" s="2" t="inlineStr">
        <is>
          <t>n/d</t>
        </is>
      </c>
      <c r="N9" s="4" t="inlineStr">
        <is>
          <t>M</t>
        </is>
      </c>
      <c r="O9" s="2" t="inlineStr">
        <is>
          <t>Compete su volume</t>
        </is>
      </c>
    </row>
    <row r="10">
      <c r="A10" s="2" t="n">
        <v>9</v>
      </c>
      <c r="B10" s="2" t="inlineStr">
        <is>
          <t>B — Boutique B2B IT</t>
        </is>
      </c>
      <c r="C10" s="2" t="inlineStr">
        <is>
          <t>Presaappuntamenti.it</t>
        </is>
      </c>
      <c r="D10" s="2" t="inlineStr">
        <is>
          <t>n/d</t>
        </is>
      </c>
      <c r="E10" s="2" t="inlineStr">
        <is>
          <t>Boutique</t>
        </is>
      </c>
      <c r="F10" s="2" t="inlineStr">
        <is>
          <t>n/d</t>
        </is>
      </c>
      <c r="G10" s="2" t="inlineStr">
        <is>
          <t>PMI B2B</t>
        </is>
      </c>
      <c r="H10" s="2" t="inlineStr">
        <is>
          <t>Marketing aggressivo "nr 1 in Italia"</t>
        </is>
      </c>
      <c r="I10" s="2" t="inlineStr">
        <is>
          <t>No proof, brand non costruito</t>
        </is>
      </c>
      <c r="J10" s="2" t="inlineStr">
        <is>
          <t>n/d</t>
        </is>
      </c>
      <c r="K10" s="2" t="inlineStr">
        <is>
          <t>No</t>
        </is>
      </c>
      <c r="L10" s="2" t="inlineStr">
        <is>
          <t>Sì</t>
        </is>
      </c>
      <c r="M10" s="2" t="inlineStr">
        <is>
          <t>Marketing claim</t>
        </is>
      </c>
      <c r="N10" s="3" t="inlineStr">
        <is>
          <t>L</t>
        </is>
      </c>
      <c r="O10" s="2" t="inlineStr">
        <is>
          <t>Pochi proof point</t>
        </is>
      </c>
    </row>
    <row r="11">
      <c r="A11" s="2" t="n">
        <v>10</v>
      </c>
      <c r="B11" s="2" t="inlineStr">
        <is>
          <t>B — Boutique B2B IT</t>
        </is>
      </c>
      <c r="C11" s="2" t="inlineStr">
        <is>
          <t>Web Leaders Srl</t>
        </is>
      </c>
      <c r="D11" s="2" t="inlineStr">
        <is>
          <t>Padova/Milano</t>
        </is>
      </c>
      <c r="E11" s="2" t="inlineStr">
        <is>
          <t>Boutique</t>
        </is>
      </c>
      <c r="F11" s="2" t="inlineStr">
        <is>
          <t>n/d</t>
        </is>
      </c>
      <c r="G11" s="2" t="inlineStr">
        <is>
          <t>PMI B2B Nord IT</t>
        </is>
      </c>
      <c r="H11" s="2" t="inlineStr">
        <is>
          <t>Footprint nord IT</t>
        </is>
      </c>
      <c r="I11" s="2" t="inlineStr">
        <is>
          <t>No AI</t>
        </is>
      </c>
      <c r="J11" s="2" t="inlineStr">
        <is>
          <t>n/d</t>
        </is>
      </c>
      <c r="K11" s="2" t="inlineStr">
        <is>
          <t>No</t>
        </is>
      </c>
      <c r="L11" s="2" t="inlineStr">
        <is>
          <t>Sì</t>
        </is>
      </c>
      <c r="M11" s="2" t="inlineStr">
        <is>
          <t>n/d</t>
        </is>
      </c>
      <c r="N11" s="4" t="inlineStr">
        <is>
          <t>M</t>
        </is>
      </c>
      <c r="O11" s="2" t="inlineStr">
        <is>
          <t>Competitor regionale</t>
        </is>
      </c>
    </row>
    <row r="12">
      <c r="A12" s="2" t="n">
        <v>11</v>
      </c>
      <c r="B12" s="2" t="inlineStr">
        <is>
          <t>C — AI Voice platforms</t>
        </is>
      </c>
      <c r="C12" s="2" t="inlineStr">
        <is>
          <t>Sierra AI</t>
        </is>
      </c>
      <c r="D12" s="2" t="inlineStr">
        <is>
          <t>USA</t>
        </is>
      </c>
      <c r="E12" s="2" t="inlineStr">
        <is>
          <t>Enterprise platform</t>
        </is>
      </c>
      <c r="F12" s="2" t="inlineStr">
        <is>
          <t>$15,8B val. (mag 2026)</t>
        </is>
      </c>
      <c r="G12" s="2" t="inlineStr">
        <is>
          <t>Enterprise CX (banking, insurance)</t>
        </is>
      </c>
      <c r="H12" s="2" t="inlineStr">
        <is>
          <t>Categoria leader full-stack</t>
        </is>
      </c>
      <c r="I12" s="2" t="inlineStr">
        <is>
          <t>Ticket $500k+, no SMB IT</t>
        </is>
      </c>
      <c r="J12" s="2" t="inlineStr">
        <is>
          <t>Enterprise custom</t>
        </is>
      </c>
      <c r="K12" s="2" t="inlineStr">
        <is>
          <t>Sì</t>
        </is>
      </c>
      <c r="L12" s="2" t="inlineStr">
        <is>
          <t>Sì</t>
        </is>
      </c>
      <c r="M12" s="2" t="inlineStr">
        <is>
          <t>Series E $950M mag 2026</t>
        </is>
      </c>
      <c r="N12" s="4" t="inlineStr">
        <is>
          <t>M</t>
        </is>
      </c>
      <c r="O12" s="2" t="inlineStr">
        <is>
          <t>Long-term if scende a SMB</t>
        </is>
      </c>
    </row>
    <row r="13">
      <c r="A13" s="2" t="n">
        <v>12</v>
      </c>
      <c r="B13" s="2" t="inlineStr">
        <is>
          <t>C — AI Voice platforms</t>
        </is>
      </c>
      <c r="C13" s="2" t="inlineStr">
        <is>
          <t>Parloa</t>
        </is>
      </c>
      <c r="D13" s="2" t="inlineStr">
        <is>
          <t>Berlino</t>
        </is>
      </c>
      <c r="E13" s="2" t="inlineStr">
        <is>
          <t>Enterprise platform</t>
        </is>
      </c>
      <c r="F13" s="2" t="inlineStr">
        <is>
          <t>$3B val. (gen 2026)</t>
        </is>
      </c>
      <c r="G13" s="2" t="inlineStr">
        <is>
          <t>Enterprise CX EU</t>
        </is>
      </c>
      <c r="H13" s="2" t="inlineStr">
        <is>
          <t>Leader EU</t>
        </is>
      </c>
      <c r="I13" s="2" t="inlineStr">
        <is>
          <t>Ticket €100k+</t>
        </is>
      </c>
      <c r="J13" s="2" t="inlineStr">
        <is>
          <t>Enterprise custom</t>
        </is>
      </c>
      <c r="K13" s="2" t="inlineStr">
        <is>
          <t>Sì</t>
        </is>
      </c>
      <c r="L13" s="2" t="inlineStr">
        <is>
          <t>Sì</t>
        </is>
      </c>
      <c r="M13" s="2" t="inlineStr">
        <is>
          <t>Series D €350M gen 2026</t>
        </is>
      </c>
      <c r="N13" s="4" t="inlineStr">
        <is>
          <t>M</t>
        </is>
      </c>
      <c r="O13" s="2" t="inlineStr">
        <is>
          <t>Potenziale partner/competitor in DE</t>
        </is>
      </c>
    </row>
    <row r="14">
      <c r="A14" s="2" t="n">
        <v>13</v>
      </c>
      <c r="B14" s="2" t="inlineStr">
        <is>
          <t>C — AI Voice platforms</t>
        </is>
      </c>
      <c r="C14" s="2" t="inlineStr">
        <is>
          <t>ElevenLabs Agents</t>
        </is>
      </c>
      <c r="D14" s="2" t="inlineStr">
        <is>
          <t>USA/UK</t>
        </is>
      </c>
      <c r="E14" s="2" t="inlineStr">
        <is>
          <t>Infra+platform</t>
        </is>
      </c>
      <c r="F14" s="2" t="inlineStr">
        <is>
          <t>$11B val. (feb 2026)</t>
        </is>
      </c>
      <c r="G14" s="2" t="inlineStr">
        <is>
          <t>Voice infra developers + enterprise</t>
        </is>
      </c>
      <c r="H14" s="2" t="inlineStr">
        <is>
          <t>Voice quality leader</t>
        </is>
      </c>
      <c r="I14" s="2" t="inlineStr">
        <is>
          <t>Sta scendendo verso end-user</t>
        </is>
      </c>
      <c r="J14" s="2" t="inlineStr">
        <is>
          <t>$0,08-0,12/min</t>
        </is>
      </c>
      <c r="K14" s="2" t="inlineStr">
        <is>
          <t>Sì</t>
        </is>
      </c>
      <c r="L14" s="2" t="inlineStr">
        <is>
          <t>Sì eccellente</t>
        </is>
      </c>
      <c r="M14" s="2" t="inlineStr">
        <is>
          <t>Series D $500M feb 2026</t>
        </is>
      </c>
      <c r="N14" s="6" t="inlineStr">
        <is>
          <t>L (supplier)</t>
        </is>
      </c>
      <c r="O14" s="2" t="inlineStr">
        <is>
          <t>Fornitore non concorrente</t>
        </is>
      </c>
    </row>
    <row r="15">
      <c r="A15" s="2" t="n">
        <v>14</v>
      </c>
      <c r="B15" s="2" t="inlineStr">
        <is>
          <t>C — AI Voice platforms</t>
        </is>
      </c>
      <c r="C15" s="2" t="inlineStr">
        <is>
          <t>Vapi</t>
        </is>
      </c>
      <c r="D15" s="2" t="inlineStr">
        <is>
          <t>USA</t>
        </is>
      </c>
      <c r="E15" s="2" t="inlineStr">
        <is>
          <t>Developer platform</t>
        </is>
      </c>
      <c r="F15" s="2" t="inlineStr">
        <is>
          <t>$500M val. (mag 2026)</t>
        </is>
      </c>
      <c r="G15" s="2" t="inlineStr">
        <is>
          <t>Developer voice agents</t>
        </is>
      </c>
      <c r="H15" s="2" t="inlineStr">
        <is>
          <t>Orchestrator commodity</t>
        </is>
      </c>
      <c r="I15" s="2" t="inlineStr">
        <is>
          <t>No-it support nativo</t>
        </is>
      </c>
      <c r="J15" s="2" t="inlineStr">
        <is>
          <t>$0,05/min + infra</t>
        </is>
      </c>
      <c r="K15" s="2" t="inlineStr">
        <is>
          <t>Sì</t>
        </is>
      </c>
      <c r="L15" s="2" t="inlineStr">
        <is>
          <t>Sì</t>
        </is>
      </c>
      <c r="M15" s="2" t="inlineStr">
        <is>
          <t>Amazon Ring win mag 2026</t>
        </is>
      </c>
      <c r="N15" s="7" t="inlineStr">
        <is>
          <t>M-H</t>
        </is>
      </c>
      <c r="O15" s="2" t="inlineStr">
        <is>
          <t>Commoditizza stack se semplifica italiano</t>
        </is>
      </c>
    </row>
    <row r="16">
      <c r="A16" s="2" t="n">
        <v>15</v>
      </c>
      <c r="B16" s="2" t="inlineStr">
        <is>
          <t>C — AI Voice platforms</t>
        </is>
      </c>
      <c r="C16" s="2" t="inlineStr">
        <is>
          <t>Synthflow</t>
        </is>
      </c>
      <c r="D16" s="2" t="inlineStr">
        <is>
          <t>Berlino</t>
        </is>
      </c>
      <c r="E16" s="2" t="inlineStr">
        <is>
          <t>No-code platform</t>
        </is>
      </c>
      <c r="F16" s="2" t="inlineStr">
        <is>
          <t>$30M raised</t>
        </is>
      </c>
      <c r="G16" s="2" t="inlineStr">
        <is>
          <t>SMB no-code voice agents</t>
        </is>
      </c>
      <c r="H16" s="2" t="inlineStr">
        <is>
          <t>UX semplice</t>
        </is>
      </c>
      <c r="I16" s="2" t="inlineStr">
        <is>
          <t>Generalista</t>
        </is>
      </c>
      <c r="J16" s="2" t="inlineStr">
        <is>
          <t>$0,12-0,13 over-usage</t>
        </is>
      </c>
      <c r="K16" s="2" t="inlineStr">
        <is>
          <t>Sì</t>
        </is>
      </c>
      <c r="L16" s="2" t="inlineStr">
        <is>
          <t>Sì</t>
        </is>
      </c>
      <c r="M16" s="2" t="inlineStr">
        <is>
          <t>Series A $20M giu 2025</t>
        </is>
      </c>
      <c r="N16" s="7" t="inlineStr">
        <is>
          <t>M-H</t>
        </is>
      </c>
      <c r="O16" s="2" t="inlineStr">
        <is>
          <t>Threat su SMB se italianizza</t>
        </is>
      </c>
    </row>
    <row r="17">
      <c r="A17" s="2" t="n">
        <v>16</v>
      </c>
      <c r="B17" s="2" t="inlineStr">
        <is>
          <t>C — AI Voice platforms</t>
        </is>
      </c>
      <c r="C17" s="2" t="inlineStr">
        <is>
          <t>Air.ai</t>
        </is>
      </c>
      <c r="D17" s="2" t="inlineStr">
        <is>
          <t>USA</t>
        </is>
      </c>
      <c r="E17" s="2" t="inlineStr">
        <is>
          <t>Outbound platform</t>
        </is>
      </c>
      <c r="F17" s="2" t="inlineStr">
        <is>
          <t>$6,1M seed (FTC sued ago 2025)</t>
        </is>
      </c>
      <c r="G17" s="2" t="inlineStr">
        <is>
          <t>SMB outbound aggressive</t>
        </is>
      </c>
      <c r="H17" s="2" t="inlineStr">
        <is>
          <t>Marketing aggressivo</t>
        </is>
      </c>
      <c r="I17" s="2" t="inlineStr">
        <is>
          <t>Causa FTC ago 2025 reputazionale</t>
        </is>
      </c>
      <c r="J17" s="2" t="inlineStr">
        <is>
          <t>n/d</t>
        </is>
      </c>
      <c r="K17" s="2" t="inlineStr">
        <is>
          <t>Sì</t>
        </is>
      </c>
      <c r="L17" s="2" t="inlineStr">
        <is>
          <t>Limitato</t>
        </is>
      </c>
      <c r="M17" s="2" t="inlineStr">
        <is>
          <t>FTC lawsuit</t>
        </is>
      </c>
      <c r="N17" s="6" t="inlineStr">
        <is>
          <t>L (reputation negativa)</t>
        </is>
      </c>
      <c r="O17" s="2" t="inlineStr">
        <is>
          <t>Telesales si distingue per compliance</t>
        </is>
      </c>
    </row>
    <row r="18">
      <c r="A18" s="2" t="n">
        <v>17</v>
      </c>
      <c r="B18" s="2" t="inlineStr">
        <is>
          <t>D — Alternative</t>
        </is>
      </c>
      <c r="C18" s="2" t="inlineStr">
        <is>
          <t>In-house SDR junior IT</t>
        </is>
      </c>
      <c r="D18" s="2" t="inlineStr">
        <is>
          <t>Cliente PMI</t>
        </is>
      </c>
      <c r="E18" s="2" t="inlineStr">
        <is>
          <t>Build vs Buy</t>
        </is>
      </c>
      <c r="F18" s="2" t="inlineStr">
        <is>
          <t>€25-45k/anno costo</t>
        </is>
      </c>
      <c r="G18" s="2" t="inlineStr">
        <is>
          <t>PMI che assume</t>
        </is>
      </c>
      <c r="H18" s="2" t="inlineStr">
        <is>
          <t>Controllo, brand alignment</t>
        </is>
      </c>
      <c r="I18" s="2" t="inlineStr">
        <is>
          <t>Cost alto, onboarding lungo, turnover</t>
        </is>
      </c>
      <c r="J18" s="2" t="inlineStr">
        <is>
          <t>€25-45k aziendale</t>
        </is>
      </c>
      <c r="K18" s="2" t="inlineStr">
        <is>
          <t>No</t>
        </is>
      </c>
      <c r="L18" s="2" t="inlineStr">
        <is>
          <t>Sì</t>
        </is>
      </c>
      <c r="M18" s="2" t="inlineStr">
        <is>
          <t>Choice tradizionale</t>
        </is>
      </c>
      <c r="N18" s="5" t="inlineStr">
        <is>
          <t>H</t>
        </is>
      </c>
      <c r="O18" s="2" t="inlineStr">
        <is>
          <t>Vera competizione su build-vs-buy</t>
        </is>
      </c>
    </row>
    <row r="19">
      <c r="A19" s="2" t="n">
        <v>18</v>
      </c>
      <c r="B19" s="2" t="inlineStr">
        <is>
          <t>D — Alternative</t>
        </is>
      </c>
      <c r="C19" s="2" t="inlineStr">
        <is>
          <t>Agenzie LinkedIn outbound</t>
        </is>
      </c>
      <c r="D19" s="2" t="inlineStr">
        <is>
          <t>Italia/EU</t>
        </is>
      </c>
      <c r="E19" s="2" t="inlineStr">
        <is>
          <t>Boutique digitale</t>
        </is>
      </c>
      <c r="F19" s="2" t="inlineStr">
        <is>
          <t>n/d</t>
        </is>
      </c>
      <c r="G19" s="2" t="inlineStr">
        <is>
          <t>Scale-up B2B</t>
        </is>
      </c>
      <c r="H19" s="2" t="inlineStr">
        <is>
          <t>CAC basso se ICP tight</t>
        </is>
      </c>
      <c r="I19" s="2" t="inlineStr">
        <is>
          <t>Reply rate medio 3,43% 2026</t>
        </is>
      </c>
      <c r="J19" s="2" t="inlineStr">
        <is>
          <t>€1-3k/mese</t>
        </is>
      </c>
      <c r="K19" s="2" t="inlineStr">
        <is>
          <t>No</t>
        </is>
      </c>
      <c r="L19" s="2" t="inlineStr">
        <is>
          <t>Sì</t>
        </is>
      </c>
      <c r="M19" s="2" t="inlineStr">
        <is>
          <t>Cap InMail &lt;100/mese 2025</t>
        </is>
      </c>
      <c r="N19" s="4" t="inlineStr">
        <is>
          <t>M</t>
        </is>
      </c>
      <c r="O19" s="2" t="inlineStr">
        <is>
          <t>Compete su scale-up tech-native</t>
        </is>
      </c>
    </row>
    <row r="20">
      <c r="A20" s="2" t="n">
        <v>19</v>
      </c>
      <c r="B20" s="2" t="inlineStr">
        <is>
          <t>D — Alternative</t>
        </is>
      </c>
      <c r="C20" s="2" t="inlineStr">
        <is>
          <t>Agenzie cold email (Lemlist users)</t>
        </is>
      </c>
      <c r="D20" s="2" t="inlineStr">
        <is>
          <t>EU</t>
        </is>
      </c>
      <c r="E20" s="2" t="inlineStr">
        <is>
          <t>Boutique digitale</t>
        </is>
      </c>
      <c r="F20" s="2" t="inlineStr">
        <is>
          <t>n/d</t>
        </is>
      </c>
      <c r="G20" s="2" t="inlineStr">
        <is>
          <t>PMI/SMB B2B</t>
        </is>
      </c>
      <c r="H20" s="2" t="inlineStr">
        <is>
          <t>Scalabile, basso costo</t>
        </is>
      </c>
      <c r="I20" s="2" t="inlineStr">
        <is>
          <t>Saturazione, reply rate calo</t>
        </is>
      </c>
      <c r="J20" s="2" t="inlineStr">
        <is>
          <t>€500-2k/mese</t>
        </is>
      </c>
      <c r="K20" s="2" t="inlineStr">
        <is>
          <t>No</t>
        </is>
      </c>
      <c r="L20" s="2" t="inlineStr">
        <is>
          <t>Sì</t>
        </is>
      </c>
      <c r="M20" s="2" t="inlineStr">
        <is>
          <t>Reply 2026 3,43% [Reachoutly]</t>
        </is>
      </c>
      <c r="N20" s="4" t="inlineStr">
        <is>
          <t>M</t>
        </is>
      </c>
      <c r="O20" s="2" t="inlineStr">
        <is>
          <t>Compete su fascia bassa</t>
        </is>
      </c>
    </row>
    <row r="21">
      <c r="A21" s="2" t="n">
        <v>20</v>
      </c>
      <c r="B21" s="2" t="inlineStr">
        <is>
          <t>D — Alternative</t>
        </is>
      </c>
      <c r="C21" s="2" t="inlineStr">
        <is>
          <t>Freelance setter individuali</t>
        </is>
      </c>
      <c r="D21" s="2" t="inlineStr">
        <is>
          <t>Italia</t>
        </is>
      </c>
      <c r="E21" s="2" t="inlineStr">
        <is>
          <t>Freelance</t>
        </is>
      </c>
      <c r="F21" s="2" t="inlineStr">
        <is>
          <t>€10-25/h</t>
        </is>
      </c>
      <c r="G21" s="2" t="inlineStr">
        <is>
          <t>PMI piccole</t>
        </is>
      </c>
      <c r="H21" s="2" t="inlineStr">
        <is>
          <t>Costo basso, flessibile</t>
        </is>
      </c>
      <c r="I21" s="2" t="inlineStr">
        <is>
          <t>No scala, no continuità</t>
        </is>
      </c>
      <c r="J21" s="2" t="inlineStr">
        <is>
          <t>€500-1.500/mese</t>
        </is>
      </c>
      <c r="K21" s="2" t="inlineStr">
        <is>
          <t>No</t>
        </is>
      </c>
      <c r="L21" s="2" t="inlineStr">
        <is>
          <t>Sì</t>
        </is>
      </c>
      <c r="M21" s="2" t="inlineStr">
        <is>
          <t>Labor market favorevole post-BPO</t>
        </is>
      </c>
      <c r="N21" s="3" t="inlineStr">
        <is>
          <t>L</t>
        </is>
      </c>
      <c r="O21" s="2" t="inlineStr">
        <is>
          <t>Target diverso, ICP piccolo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50" customWidth="1" min="4" max="4"/>
  </cols>
  <sheetData>
    <row r="1">
      <c r="A1" s="8" t="inlineStr">
        <is>
          <t>Telesales Competitive Landscape — Summary</t>
        </is>
      </c>
    </row>
    <row r="3" ht="30" customHeight="1">
      <c r="A3" s="1" t="inlineStr">
        <is>
          <t>Cluster</t>
        </is>
      </c>
      <c r="B3" s="1" t="inlineStr">
        <is>
          <t># competitor</t>
        </is>
      </c>
      <c r="C3" s="1" t="inlineStr">
        <is>
          <t>Threat medio</t>
        </is>
      </c>
      <c r="D3" s="1" t="inlineStr">
        <is>
          <t>Note</t>
        </is>
      </c>
    </row>
    <row r="4">
      <c r="A4" s="2" t="inlineStr">
        <is>
          <t>A — BPO Enterprise IT</t>
        </is>
      </c>
      <c r="B4" s="2">
        <f>COUNTIF('Competitor Matrix'!B:B,"A*")</f>
        <v/>
      </c>
      <c r="C4" s="2" t="inlineStr">
        <is>
          <t>L-M</t>
        </is>
      </c>
      <c r="D4" s="2" t="inlineStr">
        <is>
          <t>Non target ICP Telesales (PMI). Threat indiretto.</t>
        </is>
      </c>
    </row>
    <row r="5">
      <c r="A5" s="2" t="inlineStr">
        <is>
          <t>B — Boutique B2B IT</t>
        </is>
      </c>
      <c r="B5" s="2">
        <f>COUNTIF('Competitor Matrix'!B:B,"B*")</f>
        <v/>
      </c>
      <c r="C5" s="2" t="inlineStr">
        <is>
          <t>M-H</t>
        </is>
      </c>
      <c r="D5" s="2" t="inlineStr">
        <is>
          <t>Vera competizione (L'Ippogrifo leader). White space brand-leadership.</t>
        </is>
      </c>
    </row>
    <row r="6">
      <c r="A6" s="2" t="inlineStr">
        <is>
          <t>C — AI Voice platforms globali</t>
        </is>
      </c>
      <c r="B6" s="2">
        <f>COUNTIF('Competitor Matrix'!B:B,"C*")</f>
        <v/>
      </c>
      <c r="C6" s="2" t="inlineStr">
        <is>
          <t>M-H lungo termine</t>
        </is>
      </c>
      <c r="D6" s="2" t="inlineStr">
        <is>
          <t>Infrastruttura, non competitor diretti (eccetto Air.ai).</t>
        </is>
      </c>
    </row>
    <row r="7">
      <c r="A7" s="2" t="inlineStr">
        <is>
          <t>D — Alternative al servizio</t>
        </is>
      </c>
      <c r="B7" s="2">
        <f>COUNTIF('Competitor Matrix'!B:B,"D*")</f>
        <v/>
      </c>
      <c r="C7" s="2" t="inlineStr">
        <is>
          <t>H (in-house) / M (digital)</t>
        </is>
      </c>
      <c r="D7" s="2" t="inlineStr">
        <is>
          <t>Build-vs-buy è la vera decisione PMI.</t>
        </is>
      </c>
    </row>
    <row r="9">
      <c r="A9" s="9" t="inlineStr">
        <is>
          <t>Totale competitor mappati</t>
        </is>
      </c>
      <c r="B9">
        <f>COUNTA('Competitor Matrix'!C2:C20)</f>
        <v/>
      </c>
      <c r="C9" t="inlineStr"/>
      <c r="D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2026-05-16T14:28:16Z</dcterms:created>
  <dcterms:modified xmlns:dcterms="http://purl.org/dc/terms/" xmlns:xsi="http://www.w3.org/2001/XMLSchema-instance" xsi:type="dcterms:W3CDTF">2026-05-16T14:28:16Z</dcterms:modified>
</cp:coreProperties>
</file>